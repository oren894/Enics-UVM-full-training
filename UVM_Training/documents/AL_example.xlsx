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How to Fill" sheetId="1" state="visible" r:id="rId1"/>
    <sheet name="Summary" sheetId="2" state="visible" r:id="rId2"/>
    <sheet name="AL Template" sheetId="3" state="visible" r:id="rId3"/>
  </sheets>
  <definedNames>
    <definedName name="_xlnm._FilterDatabase" localSheetId="2" hidden="1">'AL Template'!$A$5:$H$17</definedName>
    <definedName name="_xlnm.Print_Titles" localSheetId="2">'AL Template'!$5:$5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9"/>
    </font>
    <font>
      <name val="Arial"/>
      <b val="1"/>
      <color rgb="00833C0B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i val="1"/>
      <color rgb="00595959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546A"/>
        <bgColor rgb="0044546A"/>
      </patternFill>
    </fill>
    <fill>
      <patternFill patternType="solid">
        <fgColor rgb="00EEF2F8"/>
        <bgColor rgb="00EEF2F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5FA"/>
        <bgColor rgb="00F2F5FA"/>
      </patternFill>
    </fill>
  </fills>
  <borders count="8">
    <border>
      <left/>
      <right/>
      <top/>
      <bottom/>
      <diagonal/>
    </border>
    <border>
      <left style="thick">
        <color rgb="00EEF2F8"/>
      </left>
      <right style="thick">
        <color rgb="00EEF2F8"/>
      </right>
      <top style="thick">
        <color rgb="00EEF2F8"/>
      </top>
      <bottom style="thick">
        <color rgb="00EEF2F8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14" fillId="0" borderId="0" applyAlignment="1" pivotButton="0" quotePrefix="0" xfId="0">
      <alignment vertical="top" wrapText="1"/>
    </xf>
    <xf numFmtId="0" fontId="9" fillId="2" borderId="4" applyAlignment="1" pivotButton="0" quotePrefix="0" xfId="0">
      <alignment vertical="center" indent="1"/>
    </xf>
    <xf numFmtId="0" fontId="12" fillId="0" borderId="4" applyAlignment="1" pivotButton="0" quotePrefix="0" xfId="0">
      <alignment vertical="center" wrapText="1" indent="1"/>
    </xf>
    <xf numFmtId="0" fontId="11" fillId="0" borderId="4" applyAlignment="1" pivotButton="0" quotePrefix="0" xfId="0">
      <alignment vertical="center" wrapText="1" indent="1"/>
    </xf>
    <xf numFmtId="0" fontId="12" fillId="12" borderId="4" applyAlignment="1" pivotButton="0" quotePrefix="0" xfId="0">
      <alignment vertical="center" wrapText="1" indent="1"/>
    </xf>
    <xf numFmtId="0" fontId="11" fillId="12" borderId="4" applyAlignment="1" pivotButton="0" quotePrefix="0" xfId="0">
      <alignment vertical="center" wrapText="1" indent="1"/>
    </xf>
    <xf numFmtId="0" fontId="10" fillId="10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 wrapText="1" indent="1"/>
    </xf>
    <xf numFmtId="0" fontId="14" fillId="0" borderId="0" pivotButton="0" quotePrefix="0" xfId="0"/>
    <xf numFmtId="0" fontId="9" fillId="2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indent="1"/>
    </xf>
    <xf numFmtId="0" fontId="13" fillId="0" borderId="4" applyAlignment="1" pivotButton="0" quotePrefix="0" xfId="0">
      <alignment horizontal="center" vertical="center"/>
    </xf>
    <xf numFmtId="9" fontId="13" fillId="0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 indent="1"/>
    </xf>
    <xf numFmtId="0" fontId="13" fillId="12" borderId="4" applyAlignment="1" pivotButton="0" quotePrefix="0" xfId="0">
      <alignment horizontal="center" vertical="center"/>
    </xf>
    <xf numFmtId="9" fontId="13" fillId="12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indent="1"/>
    </xf>
    <xf numFmtId="0" fontId="15" fillId="10" borderId="4" applyAlignment="1" pivotButton="0" quotePrefix="0" xfId="0">
      <alignment horizontal="center" vertical="center"/>
    </xf>
    <xf numFmtId="9" fontId="15" fillId="10" borderId="4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horizontal="righ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10" borderId="3" applyAlignment="1" pivotButton="0" quotePrefix="0" xfId="0">
      <alignment vertical="center" indent="1"/>
    </xf>
    <xf numFmtId="0" fontId="0" fillId="0" borderId="3" pivotButton="0" quotePrefix="0" xfId="0"/>
    <xf numFmtId="0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vertical="center" wrapText="1"/>
    </xf>
    <xf numFmtId="0" fontId="13" fillId="11" borderId="4" applyAlignment="1" pivotButton="0" quotePrefix="0" xfId="0">
      <alignment vertical="center" wrapText="1"/>
    </xf>
    <xf numFmtId="0" fontId="11" fillId="11" borderId="4" applyAlignment="1" pivotButton="0" quotePrefix="0" xfId="0">
      <alignment vertical="center" wrapText="1"/>
    </xf>
    <xf numFmtId="0" fontId="11" fillId="11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vertical="center" wrapText="1"/>
    </xf>
    <xf numFmtId="0" fontId="13" fillId="12" borderId="4" applyAlignment="1" pivotButton="0" quotePrefix="0" xfId="0">
      <alignment vertical="center" wrapText="1"/>
    </xf>
    <xf numFmtId="0" fontId="11" fillId="12" borderId="4" applyAlignment="1" pivotButton="0" quotePrefix="0" xfId="0">
      <alignment vertical="center" wrapText="1"/>
    </xf>
    <xf numFmtId="0" fontId="11" fillId="1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dxfs count="5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375623"/>
      </font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How to Write an Attribute List</t>
        </is>
      </c>
    </row>
    <row r="2" ht="48" customHeight="1">
      <c r="A2" s="2" t="inlineStr">
        <is>
          <t>An Attribute List (AL) lists every behavior of the module that verification must prove. It is written from the spec, BEFORE the Verification Plan and the environment: the VP (stimulus scenarios, checkers, coverage) is built from the AL.</t>
        </is>
      </c>
    </row>
    <row r="4">
      <c r="A4" s="3" t="inlineStr">
        <is>
          <t>Column</t>
        </is>
      </c>
      <c r="B4" s="3" t="inlineStr">
        <is>
          <t>Meaning</t>
        </is>
      </c>
    </row>
    <row r="5" ht="30" customHeight="1">
      <c r="A5" s="4" t="inlineStr">
        <is>
          <t>ID</t>
        </is>
      </c>
      <c r="B5" s="5" t="inlineStr">
        <is>
          <t>Unique attribute ID (group prefix + number). Referenced from the VP and from test logs.</t>
        </is>
      </c>
    </row>
    <row r="6" ht="30" customHeight="1">
      <c r="A6" s="6" t="inlineStr">
        <is>
          <t>Group</t>
        </is>
      </c>
      <c r="B6" s="7" t="inlineStr">
        <is>
          <t>Logical grouping of attributes (by feature, lane, attribute type, …).</t>
        </is>
      </c>
    </row>
    <row r="7" ht="30" customHeight="1">
      <c r="A7" s="4" t="inlineStr">
        <is>
          <t>Attribute (The module shall … when …)</t>
        </is>
      </c>
      <c r="B7" s="5" t="inlineStr">
        <is>
          <t>What the module does, written as an observable behavior triggered by a stimulus: "The module shall … when …".</t>
        </is>
      </c>
    </row>
    <row r="8" ht="30" customHeight="1">
      <c r="A8" s="6" t="inlineStr">
        <is>
          <t>Notes / Assumptions</t>
        </is>
      </c>
      <c r="B8" s="7" t="inlineStr">
        <is>
          <t>Constraints, parameters, and assumptions the attribute depends on.</t>
        </is>
      </c>
    </row>
    <row r="9" ht="30" customHeight="1">
      <c r="A9" s="4" t="inlineStr">
        <is>
          <t>Test Case (standard &amp; corner cases)</t>
        </is>
      </c>
      <c r="B9" s="5" t="inlineStr">
        <is>
          <t>The concrete scenarios that must be exercised — standard cases and corner cases. One row per case.</t>
        </is>
      </c>
    </row>
    <row r="10" ht="30" customHeight="1">
      <c r="A10" s="6" t="inlineStr">
        <is>
          <t>Priority</t>
        </is>
      </c>
      <c r="B10" s="7" t="inlineStr">
        <is>
          <t>High / Medium / Low — trade-off between importance and development time.</t>
        </is>
      </c>
    </row>
    <row r="11" ht="30" customHeight="1">
      <c r="A11" s="4" t="inlineStr">
        <is>
          <t>Implemented (V / X)</t>
        </is>
      </c>
      <c r="B11" s="5" t="inlineStr">
        <is>
          <t>V = the scenario is implemented in the verification environment (stimulus + checker). X = not yet.</t>
        </is>
      </c>
    </row>
    <row r="12" ht="30" customHeight="1">
      <c r="A12" s="6" t="inlineStr">
        <is>
          <t>Checked (V / X)</t>
        </is>
      </c>
      <c r="B12" s="7" t="inlineStr">
        <is>
          <t>V = the scenario was actually hit and measured by functional coverage. X = not yet.
(Both status columns stay X when the AL is first written — they are filled in later, during verification.)</t>
        </is>
      </c>
    </row>
    <row r="14" ht="22" customHeight="1">
      <c r="A14" s="8" t="inlineStr">
        <is>
          <t>Writing good attributes</t>
        </is>
      </c>
    </row>
    <row r="15" ht="30" customHeight="1">
      <c r="A15" s="9" t="inlineStr">
        <is>
          <t>•  System assumptions: conditions the module cannot work without (e.g. valid interfaces, legal parameter ranges). They are not stimulated, but the environment must respect them.</t>
        </is>
      </c>
    </row>
    <row r="16" ht="18" customHeight="1">
      <c r="A16" s="9" t="inlineStr">
        <is>
          <t>•  Attributes describe what the module DOES in response to a stimulus — phrase them as "The module shall … when …".</t>
        </is>
      </c>
    </row>
    <row r="17" ht="30" customHeight="1">
      <c r="A17" s="9" t="inlineStr">
        <is>
          <t>•  Group attributes by common sense: by lane, by feature, by attribute type, etc. Give each group an ID prefix (e.g. LCK, SIZ, PAR).</t>
        </is>
      </c>
    </row>
    <row r="18" ht="30" customHeight="1">
      <c r="A18" s="9" t="inlineStr">
        <is>
          <t>•  Split every attribute into concrete test cases, one per row: the standard case plus every corner case (min, min+1, max-1, max, out-of-range, error injection).</t>
        </is>
      </c>
    </row>
    <row r="19" ht="30" customHeight="1">
      <c r="A19" s="9" t="inlineStr">
        <is>
          <t>•  Priority reflects the trade-off between importance and development time: High = must have for sign-off, Medium = should have, Low = nice to have.</t>
        </is>
      </c>
    </row>
    <row r="20" ht="30" customHeight="1">
      <c r="A20" s="9" t="inlineStr">
        <is>
          <t>•  Implemented (V/X): the scenario is generated and checked in the environment.  Checked (V/X): functional coverage shows the scenario was actually hit.</t>
        </is>
      </c>
    </row>
    <row r="21" ht="30" customHeight="1">
      <c r="A21" s="9" t="inlineStr">
        <is>
          <t>•  Keep the AL independent of the verification environment: describe behavior and scenarios in spec terms only (no coverpoints, sequences or test knobs) — those belong in the VP.</t>
        </is>
      </c>
    </row>
    <row r="22" ht="18" customHeight="1">
      <c r="A22" s="9" t="inlineStr">
        <is>
          <t>•  Write each test case so it can later become one VP item: a clear stimulus and the expected module response.</t>
        </is>
      </c>
    </row>
  </sheetData>
  <mergeCells count="11">
    <mergeCell ref="A20:B20"/>
    <mergeCell ref="A21:B21"/>
    <mergeCell ref="A16:B16"/>
    <mergeCell ref="A2:B2"/>
    <mergeCell ref="A15:B15"/>
    <mergeCell ref="A19:B19"/>
    <mergeCell ref="A14:B14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32" customHeight="1">
      <c r="A1" s="1" t="inlineStr">
        <is>
          <t>Verification Progress Summary</t>
        </is>
      </c>
    </row>
    <row r="2">
      <c r="A2" s="10" t="inlineStr">
        <is>
          <t>All numbers are live formulas over the 'AL Template' sheet — they update when you change V / X.</t>
        </is>
      </c>
    </row>
    <row r="4">
      <c r="A4" s="11" t="inlineStr">
        <is>
          <t>Group</t>
        </is>
      </c>
      <c r="B4" s="11" t="inlineStr">
        <is>
          <t>Test Cases</t>
        </is>
      </c>
      <c r="C4" s="11" t="inlineStr">
        <is>
          <t>Implemented</t>
        </is>
      </c>
      <c r="D4" s="11" t="inlineStr">
        <is>
          <t>% Impl.</t>
        </is>
      </c>
      <c r="E4" s="11" t="inlineStr">
        <is>
          <t>Checked</t>
        </is>
      </c>
      <c r="F4" s="11" t="inlineStr">
        <is>
          <t>% Checked</t>
        </is>
      </c>
    </row>
    <row r="5" ht="20" customHeight="1">
      <c r="A5" s="12" t="inlineStr">
        <is>
          <t>System assumptions</t>
        </is>
      </c>
      <c r="B5" s="13">
        <f>COUNTIFS('AL Template'!$I$6:$I$17,"SYS",'AL Template'!$E$6:$E$17,"&lt;&gt;")</f>
        <v/>
      </c>
      <c r="C5" s="13">
        <f>COUNTIFS('AL Template'!$I$6:$I$17,"SYS",'AL Template'!$G$6:$G$17,"V")</f>
        <v/>
      </c>
      <c r="D5" s="14">
        <f>IF(B5=0,0,C5/B5)</f>
        <v/>
      </c>
      <c r="E5" s="13">
        <f>COUNTIFS('AL Template'!$I$6:$I$17,"SYS",'AL Template'!$H$6:$H$17,"V")</f>
        <v/>
      </c>
      <c r="F5" s="14">
        <f>IF(B5=0,0,E5/B5)</f>
        <v/>
      </c>
    </row>
    <row r="6" ht="20" customHeight="1">
      <c r="A6" s="15" t="inlineStr">
        <is>
          <t>Attribute group 1</t>
        </is>
      </c>
      <c r="B6" s="16">
        <f>COUNTIFS('AL Template'!$I$6:$I$17,"GR1",'AL Template'!$E$6:$E$17,"&lt;&gt;")</f>
        <v/>
      </c>
      <c r="C6" s="16">
        <f>COUNTIFS('AL Template'!$I$6:$I$17,"GR1",'AL Template'!$G$6:$G$17,"V")</f>
        <v/>
      </c>
      <c r="D6" s="17">
        <f>IF(B6=0,0,C6/B6)</f>
        <v/>
      </c>
      <c r="E6" s="16">
        <f>COUNTIFS('AL Template'!$I$6:$I$17,"GR1",'AL Template'!$H$6:$H$17,"V")</f>
        <v/>
      </c>
      <c r="F6" s="17">
        <f>IF(B6=0,0,E6/B6)</f>
        <v/>
      </c>
    </row>
    <row r="7" ht="20" customHeight="1">
      <c r="A7" s="12" t="inlineStr">
        <is>
          <t>Attribute group 2</t>
        </is>
      </c>
      <c r="B7" s="13">
        <f>COUNTIFS('AL Template'!$I$6:$I$17,"GR2",'AL Template'!$E$6:$E$17,"&lt;&gt;")</f>
        <v/>
      </c>
      <c r="C7" s="13">
        <f>COUNTIFS('AL Template'!$I$6:$I$17,"GR2",'AL Template'!$G$6:$G$17,"V")</f>
        <v/>
      </c>
      <c r="D7" s="14">
        <f>IF(B7=0,0,C7/B7)</f>
        <v/>
      </c>
      <c r="E7" s="13">
        <f>COUNTIFS('AL Template'!$I$6:$I$17,"GR2",'AL Template'!$H$6:$H$17,"V")</f>
        <v/>
      </c>
      <c r="F7" s="14">
        <f>IF(B7=0,0,E7/B7)</f>
        <v/>
      </c>
    </row>
    <row r="8" ht="20" customHeight="1">
      <c r="A8" s="15" t="inlineStr">
        <is>
          <t>Message size (example)</t>
        </is>
      </c>
      <c r="B8" s="16">
        <f>COUNTIFS('AL Template'!$I$6:$I$17,"MSG",'AL Template'!$E$6:$E$17,"&lt;&gt;")</f>
        <v/>
      </c>
      <c r="C8" s="16">
        <f>COUNTIFS('AL Template'!$I$6:$I$17,"MSG",'AL Template'!$G$6:$G$17,"V")</f>
        <v/>
      </c>
      <c r="D8" s="17">
        <f>IF(B8=0,0,C8/B8)</f>
        <v/>
      </c>
      <c r="E8" s="16">
        <f>COUNTIFS('AL Template'!$I$6:$I$17,"MSG",'AL Template'!$H$6:$H$17,"V")</f>
        <v/>
      </c>
      <c r="F8" s="17">
        <f>IF(B8=0,0,E8/B8)</f>
        <v/>
      </c>
    </row>
    <row r="9" ht="20" customHeight="1">
      <c r="A9" s="18" t="inlineStr">
        <is>
          <t>TOTAL</t>
        </is>
      </c>
      <c r="B9" s="19">
        <f>SUM(B5:B8)</f>
        <v/>
      </c>
      <c r="C9" s="19">
        <f>SUM(C5:C8)</f>
        <v/>
      </c>
      <c r="D9" s="20">
        <f>IF(B9=0,0,C9/B9)</f>
        <v/>
      </c>
      <c r="E9" s="19">
        <f>SUM(E5:E8)</f>
        <v/>
      </c>
      <c r="F9" s="20">
        <f>IF(B9=0,0,E9/B9)</f>
        <v/>
      </c>
    </row>
  </sheetData>
  <mergeCells count="2">
    <mergeCell ref="A2:F2"/>
    <mergeCell ref="A1:F1"/>
  </mergeCells>
  <conditionalFormatting sqref="D5:D9">
    <cfRule type="dataBar" priority="1">
      <dataBar>
        <cfvo type="num" val="0"/>
        <cfvo type="num" val="1"/>
        <color rgb="005B9BD5"/>
      </dataBar>
    </cfRule>
  </conditionalFormatting>
  <conditionalFormatting sqref="F5:F9">
    <cfRule type="dataBar" priority="2">
      <dataBar>
        <cfvo type="num" val="0"/>
        <cfvo type="num" val="1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tabSelected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46" customWidth="1" min="4" max="4"/>
    <col width="60" customWidth="1" min="5" max="5"/>
    <col width="10" customWidth="1" min="6" max="6"/>
    <col width="14" customWidth="1" min="7" max="7"/>
    <col width="14" customWidth="1" min="8" max="8"/>
    <col hidden="1" width="13" customWidth="1" min="9" max="9"/>
  </cols>
  <sheetData>
    <row r="1" ht="32" customHeight="1">
      <c r="A1" s="1" t="inlineStr">
        <is>
          <t>Attribute List (AL) — Template &amp; Example</t>
        </is>
      </c>
    </row>
    <row r="2" ht="30" customHeight="1">
      <c r="A2" s="21" t="inlineStr">
        <is>
          <t>Written from the spec before the VP. Replace the placeholder rows; keep the worked example as a reference for the expected level of detail.</t>
        </is>
      </c>
    </row>
    <row r="3" ht="20" customHeight="1">
      <c r="E3" s="22" t="inlineStr">
        <is>
          <t>PRIORITY</t>
        </is>
      </c>
      <c r="F3" s="23" t="inlineStr">
        <is>
          <t>High</t>
        </is>
      </c>
      <c r="G3" s="24" t="inlineStr">
        <is>
          <t>Medium</t>
        </is>
      </c>
      <c r="H3" s="25" t="inlineStr">
        <is>
          <t>Low</t>
        </is>
      </c>
    </row>
    <row r="4" ht="20" customHeight="1">
      <c r="E4" s="22" t="inlineStr">
        <is>
          <t>STATUS   (Implemented / Checked)</t>
        </is>
      </c>
      <c r="F4" s="26" t="n"/>
      <c r="G4" s="27" t="inlineStr">
        <is>
          <t>V  •  Done</t>
        </is>
      </c>
      <c r="H4" s="28" t="inlineStr">
        <is>
          <t>X  •  Not done</t>
        </is>
      </c>
    </row>
    <row r="5" ht="34" customHeight="1">
      <c r="A5" s="29" t="inlineStr">
        <is>
          <t>ID</t>
        </is>
      </c>
      <c r="B5" s="29" t="inlineStr">
        <is>
          <t>Group</t>
        </is>
      </c>
      <c r="C5" s="29" t="inlineStr">
        <is>
          <t>Attribute
(The module shall … when …)</t>
        </is>
      </c>
      <c r="D5" s="29" t="inlineStr">
        <is>
          <t>Notes / Assumptions</t>
        </is>
      </c>
      <c r="E5" s="29" t="inlineStr">
        <is>
          <t>Test Case
(standard &amp; corner cases)</t>
        </is>
      </c>
      <c r="F5" s="29" t="inlineStr">
        <is>
          <t>Priority</t>
        </is>
      </c>
      <c r="G5" s="29" t="inlineStr">
        <is>
          <t>Implemented
(V / X)</t>
        </is>
      </c>
      <c r="H5" s="29" t="inlineStr">
        <is>
          <t>Checked
(V / X)</t>
        </is>
      </c>
    </row>
    <row r="6" ht="22" customHeight="1">
      <c r="A6" s="30" t="inlineStr">
        <is>
          <t>SYSTEM — Assumptions (the module cannot work correctly without these)</t>
        </is>
      </c>
      <c r="B6" s="31" t="n"/>
      <c r="C6" s="31" t="n"/>
      <c r="D6" s="31" t="n"/>
      <c r="E6" s="31" t="n"/>
      <c r="F6" s="31" t="n"/>
      <c r="G6" s="31" t="n"/>
      <c r="H6" s="31" t="n"/>
    </row>
    <row r="7" ht="28" customHeight="1">
      <c r="A7" s="32" t="inlineStr">
        <is>
          <t>SYS-01</t>
        </is>
      </c>
      <c r="B7" s="33" t="inlineStr">
        <is>
          <t>System assumptions</t>
        </is>
      </c>
      <c r="C7" s="34" t="inlineStr">
        <is>
          <t>The input and output interfaces are valid.</t>
        </is>
      </c>
      <c r="D7" s="34" t="inlineStr">
        <is>
          <t>e.g. interface of type XX.</t>
        </is>
      </c>
      <c r="E7" s="35" t="inlineStr">
        <is>
          <t>Assumption — not stimulated</t>
        </is>
      </c>
      <c r="F7" s="36" t="inlineStr">
        <is>
          <t>High</t>
        </is>
      </c>
      <c r="G7" s="36" t="inlineStr"/>
      <c r="H7" s="36" t="inlineStr"/>
      <c r="I7" t="inlineStr">
        <is>
          <t>SYS</t>
        </is>
      </c>
    </row>
    <row r="8" ht="22" customHeight="1">
      <c r="A8" s="30" t="inlineStr">
        <is>
          <t>ATTRIBUTES — Add groups by reasonable division (by lane, feature, attribute type, …)</t>
        </is>
      </c>
      <c r="B8" s="31" t="n"/>
      <c r="C8" s="31" t="n"/>
      <c r="D8" s="31" t="n"/>
      <c r="E8" s="31" t="n"/>
      <c r="F8" s="31" t="n"/>
      <c r="G8" s="31" t="n"/>
      <c r="H8" s="31" t="n"/>
    </row>
    <row r="9" ht="20" customHeight="1">
      <c r="A9" s="37" t="inlineStr">
        <is>
          <t>GR1-01</t>
        </is>
      </c>
      <c r="B9" s="38" t="inlineStr">
        <is>
          <t>Attribute group 1</t>
        </is>
      </c>
      <c r="C9" s="39" t="inlineStr">
        <is>
          <t>The module shall … when …</t>
        </is>
      </c>
      <c r="D9" s="39" t="inlineStr"/>
      <c r="E9" s="40" t="inlineStr">
        <is>
          <t>&lt;case&gt;</t>
        </is>
      </c>
      <c r="F9" s="41" t="inlineStr">
        <is>
          <t>High</t>
        </is>
      </c>
      <c r="G9" s="41" t="inlineStr">
        <is>
          <t>V</t>
        </is>
      </c>
      <c r="H9" s="41" t="inlineStr">
        <is>
          <t>V</t>
        </is>
      </c>
      <c r="I9" t="inlineStr">
        <is>
          <t>GR1</t>
        </is>
      </c>
    </row>
    <row r="10" ht="20" customHeight="1">
      <c r="A10" s="32" t="inlineStr">
        <is>
          <t>GR2-01</t>
        </is>
      </c>
      <c r="B10" s="33" t="inlineStr">
        <is>
          <t>Attribute group 2</t>
        </is>
      </c>
      <c r="C10" s="34" t="inlineStr">
        <is>
          <t>The module shall … when …</t>
        </is>
      </c>
      <c r="D10" s="34" t="inlineStr"/>
      <c r="E10" s="35" t="inlineStr">
        <is>
          <t>&lt;case&gt;</t>
        </is>
      </c>
      <c r="F10" s="36" t="inlineStr">
        <is>
          <t>Medium</t>
        </is>
      </c>
      <c r="G10" s="36" t="inlineStr">
        <is>
          <t>V</t>
        </is>
      </c>
      <c r="H10" s="36" t="inlineStr">
        <is>
          <t>V</t>
        </is>
      </c>
      <c r="I10" t="inlineStr">
        <is>
          <t>GR2</t>
        </is>
      </c>
    </row>
    <row r="11" ht="20" customHeight="1">
      <c r="A11" s="37" t="inlineStr">
        <is>
          <t>GR2-02</t>
        </is>
      </c>
      <c r="B11" s="38" t="inlineStr">
        <is>
          <t>Attribute group 2</t>
        </is>
      </c>
      <c r="C11" s="39" t="inlineStr">
        <is>
          <t>The module shall … when …</t>
        </is>
      </c>
      <c r="D11" s="39" t="inlineStr"/>
      <c r="E11" s="40" t="inlineStr">
        <is>
          <t>&lt;case&gt;</t>
        </is>
      </c>
      <c r="F11" s="41" t="inlineStr">
        <is>
          <t>Low</t>
        </is>
      </c>
      <c r="G11" s="41" t="inlineStr">
        <is>
          <t>V</t>
        </is>
      </c>
      <c r="H11" s="41" t="inlineStr">
        <is>
          <t>X</t>
        </is>
      </c>
      <c r="I11" t="inlineStr">
        <is>
          <t>GR2</t>
        </is>
      </c>
    </row>
    <row r="12" ht="22" customHeight="1">
      <c r="A12" s="30" t="inlineStr">
        <is>
          <t>WORKED EXAMPLE — a complete attribute with standard and corner cases</t>
        </is>
      </c>
      <c r="B12" s="31" t="n"/>
      <c r="C12" s="31" t="n"/>
      <c r="D12" s="31" t="n"/>
      <c r="E12" s="31" t="n"/>
      <c r="F12" s="31" t="n"/>
      <c r="G12" s="31" t="n"/>
      <c r="H12" s="31" t="n"/>
    </row>
    <row r="13" ht="20" customHeight="1">
      <c r="A13" s="32" t="inlineStr">
        <is>
          <t>MSG-01</t>
        </is>
      </c>
      <c r="B13" s="33" t="inlineStr">
        <is>
          <t>Message size</t>
        </is>
      </c>
      <c r="C13" s="34" t="inlineStr">
        <is>
          <t>The module shall drop packets whose size is outside the range defined by the parameters.</t>
        </is>
      </c>
      <c r="D13" s="34" t="inlineStr">
        <is>
          <t>Range set by parameters MIN_MSG_SIZE_IN_BYTES and MAX_MSG_SIZE_IN_BYTES.</t>
        </is>
      </c>
      <c r="E13" s="35" t="inlineStr">
        <is>
          <t>Packet smaller than MIN (MIN-1) → dropped  [corner]</t>
        </is>
      </c>
      <c r="F13" s="36" t="inlineStr">
        <is>
          <t>High</t>
        </is>
      </c>
      <c r="G13" s="36" t="inlineStr">
        <is>
          <t>V</t>
        </is>
      </c>
      <c r="H13" s="36" t="inlineStr">
        <is>
          <t>V</t>
        </is>
      </c>
      <c r="I13" t="inlineStr">
        <is>
          <t>MSG</t>
        </is>
      </c>
    </row>
    <row r="14" ht="20" customHeight="1">
      <c r="A14" s="42" t="n"/>
      <c r="B14" s="42" t="n"/>
      <c r="C14" s="42" t="n"/>
      <c r="D14" s="42" t="n"/>
      <c r="E14" s="35" t="inlineStr">
        <is>
          <t>Packet exactly MIN → accepted  [corner]</t>
        </is>
      </c>
      <c r="F14" s="36" t="inlineStr">
        <is>
          <t>Medium</t>
        </is>
      </c>
      <c r="G14" s="36" t="inlineStr">
        <is>
          <t>V</t>
        </is>
      </c>
      <c r="H14" s="36" t="inlineStr">
        <is>
          <t>V</t>
        </is>
      </c>
      <c r="I14" t="inlineStr">
        <is>
          <t>MSG</t>
        </is>
      </c>
    </row>
    <row r="15" ht="20" customHeight="1">
      <c r="A15" s="42" t="n"/>
      <c r="B15" s="42" t="n"/>
      <c r="C15" s="42" t="n"/>
      <c r="D15" s="42" t="n"/>
      <c r="E15" s="35" t="inlineStr">
        <is>
          <t>Packet between MIN+1 and MAX-1 → accepted  [standard]</t>
        </is>
      </c>
      <c r="F15" s="36" t="inlineStr">
        <is>
          <t>High</t>
        </is>
      </c>
      <c r="G15" s="36" t="inlineStr">
        <is>
          <t>V</t>
        </is>
      </c>
      <c r="H15" s="36" t="inlineStr">
        <is>
          <t>V</t>
        </is>
      </c>
      <c r="I15" t="inlineStr">
        <is>
          <t>MSG</t>
        </is>
      </c>
    </row>
    <row r="16" ht="20" customHeight="1">
      <c r="A16" s="42" t="n"/>
      <c r="B16" s="42" t="n"/>
      <c r="C16" s="42" t="n"/>
      <c r="D16" s="42" t="n"/>
      <c r="E16" s="35" t="inlineStr">
        <is>
          <t>Packet exactly MAX → accepted  [corner]</t>
        </is>
      </c>
      <c r="F16" s="36" t="inlineStr">
        <is>
          <t>Medium</t>
        </is>
      </c>
      <c r="G16" s="36" t="inlineStr">
        <is>
          <t>V</t>
        </is>
      </c>
      <c r="H16" s="36" t="inlineStr">
        <is>
          <t>V</t>
        </is>
      </c>
      <c r="I16" t="inlineStr">
        <is>
          <t>MSG</t>
        </is>
      </c>
    </row>
    <row r="17" ht="20" customHeight="1">
      <c r="A17" s="43" t="n"/>
      <c r="B17" s="43" t="n"/>
      <c r="C17" s="43" t="n"/>
      <c r="D17" s="43" t="n"/>
      <c r="E17" s="35" t="inlineStr">
        <is>
          <t>Packet larger than MAX (MAX+1) → dropped  [corner]</t>
        </is>
      </c>
      <c r="F17" s="36" t="inlineStr">
        <is>
          <t>High</t>
        </is>
      </c>
      <c r="G17" s="36" t="inlineStr">
        <is>
          <t>V</t>
        </is>
      </c>
      <c r="H17" s="36" t="inlineStr">
        <is>
          <t>V</t>
        </is>
      </c>
      <c r="I17" t="inlineStr">
        <is>
          <t>MSG</t>
        </is>
      </c>
    </row>
  </sheetData>
  <autoFilter ref="A5:H17"/>
  <mergeCells count="9">
    <mergeCell ref="A12:H12"/>
    <mergeCell ref="C13:C17"/>
    <mergeCell ref="D13:D17"/>
    <mergeCell ref="A2:H2"/>
    <mergeCell ref="B13:B17"/>
    <mergeCell ref="A13:A17"/>
    <mergeCell ref="A1:H1"/>
    <mergeCell ref="A8:H8"/>
    <mergeCell ref="A6:H6"/>
  </mergeCells>
  <conditionalFormatting sqref="G6:H17">
    <cfRule type="cellIs" priority="1" operator="equal" dxfId="0">
      <formula>"V"</formula>
    </cfRule>
    <cfRule type="cellIs" priority="2" operator="equal" dxfId="1">
      <formula>"X"</formula>
    </cfRule>
  </conditionalFormatting>
  <conditionalFormatting sqref="F6:F17">
    <cfRule type="cellIs" priority="3" operator="equal" dxfId="2">
      <formula>"High"</formula>
    </cfRule>
    <cfRule type="cellIs" priority="4" operator="equal" dxfId="3">
      <formula>"Medium"</formula>
    </cfRule>
    <cfRule type="cellIs" priority="5" operator="equal" dxfId="4">
      <formula>"Low"</formula>
    </cfRule>
  </conditionalFormatting>
  <dataValidations count="2">
    <dataValidation sqref="F6:F17" showDropDown="0" showInputMessage="0" showErrorMessage="0" allowBlank="1" type="list">
      <formula1>"High,Medium,Low"</formula1>
    </dataValidation>
    <dataValidation sqref="G6:H17" showDropDown="0" showInputMessage="0" showErrorMessage="0" allowBlank="1" type="list">
      <formula1>"V,X"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Attribute List Template</dc:title>
  <dcterms:created xsi:type="dcterms:W3CDTF">2026-09-28T11:54:19Z</dcterms:created>
  <dcterms:modified xsi:type="dcterms:W3CDTF">2026-09-28T11:54:19Z</dcterms:modified>
</cp:coreProperties>
</file>