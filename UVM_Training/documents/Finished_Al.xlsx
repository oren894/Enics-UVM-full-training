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How to Fill" sheetId="1" state="visible" r:id="rId1"/>
    <sheet name="Summary" sheetId="2" state="visible" r:id="rId2"/>
    <sheet name="Attribute List" sheetId="3" state="visible" r:id="rId3"/>
  </sheets>
  <definedNames>
    <definedName name="_xlnm._FilterDatabase" localSheetId="2" hidden="1">'Attribute List'!$A$5:$H$47</definedName>
    <definedName name="_xlnm.Print_Titles" localSheetId="2">'Attribute List'!$5:$5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6"/>
    </font>
    <font>
      <name val="Arial"/>
      <i val="1"/>
      <color rgb="00FFFFFF"/>
      <sz val="10"/>
    </font>
    <font>
      <name val="Arial"/>
      <b val="1"/>
      <color rgb="001F3864"/>
      <sz val="9"/>
    </font>
    <font>
      <name val="Arial"/>
      <b val="1"/>
      <color rgb="00833C0B"/>
      <sz val="9"/>
    </font>
    <font>
      <name val="Arial"/>
      <b val="1"/>
      <color rgb="007F6000"/>
      <sz val="9"/>
    </font>
    <font>
      <name val="Arial"/>
      <b val="1"/>
      <color rgb="00375623"/>
      <sz val="9"/>
    </font>
    <font>
      <name val="Arial"/>
      <b val="1"/>
      <color rgb="00006100"/>
      <sz val="9"/>
    </font>
    <font>
      <name val="Arial"/>
      <b val="1"/>
      <color rgb="009C0006"/>
      <sz val="9"/>
    </font>
    <font>
      <name val="Arial"/>
      <b val="1"/>
      <color rgb="00FFFFFF"/>
      <sz val="10"/>
    </font>
    <font>
      <name val="Arial"/>
      <b val="1"/>
      <color rgb="001F3864"/>
      <sz val="11"/>
    </font>
    <font>
      <name val="Arial"/>
      <sz val="10"/>
    </font>
    <font>
      <name val="Arial"/>
      <b val="1"/>
      <color rgb="001F3864"/>
      <sz val="10"/>
    </font>
    <font>
      <name val="Arial"/>
      <color rgb="00000000"/>
      <sz val="10"/>
    </font>
    <font>
      <name val="Arial"/>
      <i val="1"/>
      <color rgb="00595959"/>
      <sz val="10"/>
    </font>
    <font>
      <name val="Arial"/>
      <b val="1"/>
      <color rgb="00000000"/>
      <sz val="10"/>
    </font>
  </fonts>
  <fills count="13">
    <fill>
      <patternFill/>
    </fill>
    <fill>
      <patternFill patternType="gray125"/>
    </fill>
    <fill>
      <patternFill patternType="solid">
        <fgColor rgb="001F3864"/>
        <bgColor rgb="001F3864"/>
      </patternFill>
    </fill>
    <fill>
      <patternFill patternType="solid">
        <fgColor rgb="0044546A"/>
        <bgColor rgb="0044546A"/>
      </patternFill>
    </fill>
    <fill>
      <patternFill patternType="solid">
        <fgColor rgb="00EEF2F8"/>
        <bgColor rgb="00EEF2F8"/>
      </patternFill>
    </fill>
    <fill>
      <patternFill patternType="solid">
        <fgColor rgb="00F8CBAD"/>
        <bgColor rgb="00F8CBAD"/>
      </patternFill>
    </fill>
    <fill>
      <patternFill patternType="solid">
        <fgColor rgb="00FFE699"/>
        <bgColor rgb="00FFE699"/>
      </patternFill>
    </fill>
    <fill>
      <patternFill patternType="solid">
        <fgColor rgb="00C6E0B4"/>
        <bgColor rgb="00C6E0B4"/>
      </patternFill>
    </fill>
    <fill>
      <patternFill patternType="solid">
        <fgColor rgb="00C6EFCE"/>
        <bgColor rgb="00C6EFCE"/>
      </patternFill>
    </fill>
    <fill>
      <patternFill patternType="solid">
        <fgColor rgb="00FFC7CE"/>
        <bgColor rgb="00FFC7CE"/>
      </patternFill>
    </fill>
    <fill>
      <patternFill patternType="solid">
        <fgColor rgb="00D9E1F2"/>
        <bgColor rgb="00D9E1F2"/>
      </patternFill>
    </fill>
    <fill>
      <patternFill patternType="solid">
        <fgColor rgb="00FFFFFF"/>
        <bgColor rgb="00FFFFFF"/>
      </patternFill>
    </fill>
    <fill>
      <patternFill patternType="solid">
        <fgColor rgb="00F2F5FA"/>
        <bgColor rgb="00F2F5FA"/>
      </patternFill>
    </fill>
  </fills>
  <borders count="8">
    <border>
      <left/>
      <right/>
      <top/>
      <bottom/>
      <diagonal/>
    </border>
    <border>
      <left style="thick">
        <color rgb="00EEF2F8"/>
      </left>
      <right style="thick">
        <color rgb="00EEF2F8"/>
      </right>
      <top style="thick">
        <color rgb="00EEF2F8"/>
      </top>
      <bottom style="thick">
        <color rgb="00EEF2F8"/>
      </bottom>
    </border>
    <border>
      <left style="thin">
        <color rgb="00BFBFBF"/>
      </left>
      <right style="thin">
        <color rgb="00BFBFBF"/>
      </right>
      <top style="medium">
        <color rgb="001F3864"/>
      </top>
      <bottom style="medium">
        <color rgb="001F3864"/>
      </bottom>
    </border>
    <border>
      <top style="medium">
        <color rgb="001F3864"/>
      </top>
      <bottom style="thin">
        <color rgb="00BFBFBF"/>
      </bottom>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indent="1"/>
    </xf>
    <xf numFmtId="0" fontId="14" fillId="0" borderId="0" applyAlignment="1" pivotButton="0" quotePrefix="0" xfId="0">
      <alignment vertical="top" wrapText="1"/>
    </xf>
    <xf numFmtId="0" fontId="9" fillId="2" borderId="4" applyAlignment="1" pivotButton="0" quotePrefix="0" xfId="0">
      <alignment vertical="center" indent="1"/>
    </xf>
    <xf numFmtId="0" fontId="12" fillId="0" borderId="4" applyAlignment="1" pivotButton="0" quotePrefix="0" xfId="0">
      <alignment vertical="center" wrapText="1" indent="1"/>
    </xf>
    <xf numFmtId="0" fontId="11" fillId="0" borderId="4" applyAlignment="1" pivotButton="0" quotePrefix="0" xfId="0">
      <alignment vertical="center" wrapText="1" indent="1"/>
    </xf>
    <xf numFmtId="0" fontId="12" fillId="12" borderId="4" applyAlignment="1" pivotButton="0" quotePrefix="0" xfId="0">
      <alignment vertical="center" wrapText="1" indent="1"/>
    </xf>
    <xf numFmtId="0" fontId="11" fillId="12" borderId="4" applyAlignment="1" pivotButton="0" quotePrefix="0" xfId="0">
      <alignment vertical="center" wrapText="1" indent="1"/>
    </xf>
    <xf numFmtId="0" fontId="10" fillId="10" borderId="0" applyAlignment="1" pivotButton="0" quotePrefix="0" xfId="0">
      <alignment vertical="center" indent="1"/>
    </xf>
    <xf numFmtId="0" fontId="11" fillId="0" borderId="0" applyAlignment="1" pivotButton="0" quotePrefix="0" xfId="0">
      <alignment vertical="center" wrapText="1" indent="1"/>
    </xf>
    <xf numFmtId="0" fontId="14" fillId="0" borderId="0" pivotButton="0" quotePrefix="0" xfId="0"/>
    <xf numFmtId="0" fontId="9" fillId="2" borderId="4" applyAlignment="1" pivotButton="0" quotePrefix="0" xfId="0">
      <alignment horizontal="center" vertical="center" wrapText="1"/>
    </xf>
    <xf numFmtId="0" fontId="12" fillId="0" borderId="4" applyAlignment="1" pivotButton="0" quotePrefix="0" xfId="0">
      <alignment horizontal="left" vertical="center" indent="1"/>
    </xf>
    <xf numFmtId="0" fontId="13" fillId="0" borderId="4" applyAlignment="1" pivotButton="0" quotePrefix="0" xfId="0">
      <alignment horizontal="center" vertical="center"/>
    </xf>
    <xf numFmtId="9" fontId="13" fillId="0" borderId="4" applyAlignment="1" pivotButton="0" quotePrefix="0" xfId="0">
      <alignment horizontal="center" vertical="center"/>
    </xf>
    <xf numFmtId="0" fontId="12" fillId="12" borderId="4" applyAlignment="1" pivotButton="0" quotePrefix="0" xfId="0">
      <alignment horizontal="left" vertical="center" indent="1"/>
    </xf>
    <xf numFmtId="0" fontId="13" fillId="12" borderId="4" applyAlignment="1" pivotButton="0" quotePrefix="0" xfId="0">
      <alignment horizontal="center" vertical="center"/>
    </xf>
    <xf numFmtId="9" fontId="13" fillId="12" borderId="4" applyAlignment="1" pivotButton="0" quotePrefix="0" xfId="0">
      <alignment horizontal="center" vertical="center"/>
    </xf>
    <xf numFmtId="0" fontId="12" fillId="10" borderId="4" applyAlignment="1" pivotButton="0" quotePrefix="0" xfId="0">
      <alignment horizontal="left" vertical="center" indent="1"/>
    </xf>
    <xf numFmtId="0" fontId="15" fillId="10" borderId="4" applyAlignment="1" pivotButton="0" quotePrefix="0" xfId="0">
      <alignment horizontal="center" vertical="center"/>
    </xf>
    <xf numFmtId="9" fontId="15" fillId="10" borderId="4" applyAlignment="1" pivotButton="0" quotePrefix="0" xfId="0">
      <alignment horizontal="center" vertical="center"/>
    </xf>
    <xf numFmtId="0" fontId="2" fillId="3" borderId="0" applyAlignment="1" pivotButton="0" quotePrefix="0" xfId="0">
      <alignment vertical="center" wrapText="1" indent="1"/>
    </xf>
    <xf numFmtId="0" fontId="3" fillId="4" borderId="0" applyAlignment="1" pivotButton="0" quotePrefix="0" xfId="0">
      <alignment horizontal="right" vertical="center" inden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0" fillId="4" borderId="0" pivotButton="0" quotePrefix="0" xfId="0"/>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2" borderId="2" applyAlignment="1" pivotButton="0" quotePrefix="0" xfId="0">
      <alignment horizontal="center" vertical="center" wrapText="1"/>
    </xf>
    <xf numFmtId="0" fontId="10" fillId="10" borderId="3" applyAlignment="1" pivotButton="0" quotePrefix="0" xfId="0">
      <alignment vertical="center" indent="1"/>
    </xf>
    <xf numFmtId="0" fontId="0" fillId="0" borderId="3" pivotButton="0" quotePrefix="0" xfId="0"/>
    <xf numFmtId="0" fontId="12" fillId="11" borderId="4" applyAlignment="1" pivotButton="0" quotePrefix="0" xfId="0">
      <alignment horizontal="center" vertical="center" wrapText="1"/>
    </xf>
    <xf numFmtId="0" fontId="12" fillId="11" borderId="4" applyAlignment="1" pivotButton="0" quotePrefix="0" xfId="0">
      <alignment vertical="center" wrapText="1"/>
    </xf>
    <xf numFmtId="0" fontId="13" fillId="11" borderId="4" applyAlignment="1" pivotButton="0" quotePrefix="0" xfId="0">
      <alignment vertical="center" wrapText="1"/>
    </xf>
    <xf numFmtId="0" fontId="11" fillId="11" borderId="4" applyAlignment="1" pivotButton="0" quotePrefix="0" xfId="0">
      <alignment vertical="center" wrapText="1"/>
    </xf>
    <xf numFmtId="0" fontId="11" fillId="11" borderId="4" applyAlignment="1" pivotButton="0" quotePrefix="0" xfId="0">
      <alignment horizontal="center" vertical="center" wrapText="1"/>
    </xf>
    <xf numFmtId="0" fontId="12" fillId="12" borderId="4" applyAlignment="1" pivotButton="0" quotePrefix="0" xfId="0">
      <alignment horizontal="center" vertical="center" wrapText="1"/>
    </xf>
    <xf numFmtId="0" fontId="12" fillId="12" borderId="4" applyAlignment="1" pivotButton="0" quotePrefix="0" xfId="0">
      <alignment vertical="center" wrapText="1"/>
    </xf>
    <xf numFmtId="0" fontId="13" fillId="12" borderId="4" applyAlignment="1" pivotButton="0" quotePrefix="0" xfId="0">
      <alignment vertical="center" wrapText="1"/>
    </xf>
    <xf numFmtId="0" fontId="11" fillId="12" borderId="4" applyAlignment="1" pivotButton="0" quotePrefix="0" xfId="0">
      <alignment vertical="center" wrapText="1"/>
    </xf>
    <xf numFmtId="0" fontId="11" fillId="12" borderId="4" applyAlignment="1" pivotButton="0" quotePrefix="0" xfId="0">
      <alignment horizontal="center" vertical="center" wrapText="1"/>
    </xf>
    <xf numFmtId="0" fontId="0" fillId="0" borderId="6" pivotButton="0" quotePrefix="0" xfId="0"/>
    <xf numFmtId="0" fontId="0" fillId="0" borderId="7" pivotButton="0" quotePrefix="0" xfId="0"/>
  </cellXfs>
  <cellStyles count="1">
    <cellStyle name="Normal" xfId="0" builtinId="0" hidden="0"/>
  </cellStyles>
  <dxfs count="5">
    <dxf>
      <font>
        <name val="Arial"/>
        <b val="1"/>
        <color rgb="00006100"/>
      </font>
      <fill>
        <patternFill patternType="solid">
          <fgColor rgb="00C6EFCE"/>
          <bgColor rgb="00C6EFCE"/>
        </patternFill>
      </fill>
    </dxf>
    <dxf>
      <font>
        <name val="Arial"/>
        <b val="1"/>
        <color rgb="009C0006"/>
      </font>
      <fill>
        <patternFill patternType="solid">
          <fgColor rgb="00FFC7CE"/>
          <bgColor rgb="00FFC7CE"/>
        </patternFill>
      </fill>
    </dxf>
    <dxf>
      <font>
        <name val="Arial"/>
        <b val="1"/>
        <color rgb="00833C0B"/>
      </font>
      <fill>
        <patternFill patternType="solid">
          <fgColor rgb="00F8CBAD"/>
          <bgColor rgb="00F8CBAD"/>
        </patternFill>
      </fill>
    </dxf>
    <dxf>
      <font>
        <name val="Arial"/>
        <b val="1"/>
        <color rgb="007F6000"/>
      </font>
      <fill>
        <patternFill patternType="solid">
          <fgColor rgb="00FFE699"/>
          <bgColor rgb="00FFE699"/>
        </patternFill>
      </fill>
    </dxf>
    <dxf>
      <font>
        <name val="Arial"/>
        <b val="1"/>
        <color rgb="00375623"/>
      </font>
      <fill>
        <patternFill patternType="solid">
          <fgColor rgb="00C6E0B4"/>
          <b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tabSelected="0" workbookViewId="0">
      <selection activeCell="A1" sqref="A1"/>
    </sheetView>
  </sheetViews>
  <sheetFormatPr baseColWidth="8" defaultRowHeight="15"/>
  <cols>
    <col width="30" customWidth="1" min="1" max="1"/>
    <col width="100" customWidth="1" min="2" max="2"/>
  </cols>
  <sheetData>
    <row r="1" ht="32" customHeight="1">
      <c r="A1" s="1" t="inlineStr">
        <is>
          <t>RX Attribute List — How to Read &amp; Fill</t>
        </is>
      </c>
    </row>
    <row r="2" ht="48" customHeight="1">
      <c r="A2" s="2" t="inlineStr">
        <is>
          <t>Each attribute describes an observable behavior of the RX module. Every attribute is broken into test cases (one row each). The AL is written from the spec BEFORE the Verification Plan and the environment exist; Implemented / Checked are updated with V or X later, as verification progresses (the Summary sheet updates automatically).</t>
        </is>
      </c>
    </row>
    <row r="4">
      <c r="A4" s="3" t="inlineStr">
        <is>
          <t>Column</t>
        </is>
      </c>
      <c r="B4" s="3" t="inlineStr">
        <is>
          <t>Meaning</t>
        </is>
      </c>
    </row>
    <row r="5" ht="30" customHeight="1">
      <c r="A5" s="4" t="inlineStr">
        <is>
          <t>ID</t>
        </is>
      </c>
      <c r="B5" s="5" t="inlineStr">
        <is>
          <t>Unique attribute ID (group prefix + number). Referenced from the VP and from test logs.</t>
        </is>
      </c>
    </row>
    <row r="6" ht="30" customHeight="1">
      <c r="A6" s="6" t="inlineStr">
        <is>
          <t>Group</t>
        </is>
      </c>
      <c r="B6" s="7" t="inlineStr">
        <is>
          <t>Logical grouping of attributes (by feature, lane, attribute type, …).</t>
        </is>
      </c>
    </row>
    <row r="7" ht="30" customHeight="1">
      <c r="A7" s="4" t="inlineStr">
        <is>
          <t>Attribute (The module shall … when …)</t>
        </is>
      </c>
      <c r="B7" s="5" t="inlineStr">
        <is>
          <t>What the module does, written as an observable behavior triggered by a stimulus: "The module shall … when …".</t>
        </is>
      </c>
    </row>
    <row r="8" ht="30" customHeight="1">
      <c r="A8" s="6" t="inlineStr">
        <is>
          <t>Notes / Assumptions</t>
        </is>
      </c>
      <c r="B8" s="7" t="inlineStr">
        <is>
          <t>Constraints, parameters, and assumptions the attribute depends on.</t>
        </is>
      </c>
    </row>
    <row r="9" ht="30" customHeight="1">
      <c r="A9" s="4" t="inlineStr">
        <is>
          <t>Test Case (standard &amp; corner cases)</t>
        </is>
      </c>
      <c r="B9" s="5" t="inlineStr">
        <is>
          <t>The concrete scenarios that must be exercised — standard cases and corner cases. One row per case.</t>
        </is>
      </c>
    </row>
    <row r="10" ht="30" customHeight="1">
      <c r="A10" s="6" t="inlineStr">
        <is>
          <t>Priority</t>
        </is>
      </c>
      <c r="B10" s="7" t="inlineStr">
        <is>
          <t>High / Medium / Low — trade-off between importance and development time.</t>
        </is>
      </c>
    </row>
    <row r="11" ht="30" customHeight="1">
      <c r="A11" s="4" t="inlineStr">
        <is>
          <t>Implemented (V / X)</t>
        </is>
      </c>
      <c r="B11" s="5" t="inlineStr">
        <is>
          <t>V = the scenario is implemented in the verification environment (stimulus + checker). X = not yet.</t>
        </is>
      </c>
    </row>
    <row r="12" ht="30" customHeight="1">
      <c r="A12" s="6" t="inlineStr">
        <is>
          <t>Checked (V / X)</t>
        </is>
      </c>
      <c r="B12" s="7" t="inlineStr">
        <is>
          <t>V = the scenario was actually hit and measured by functional coverage. X = not yet.
(Both status columns stay X when the AL is first written — they are filled in later, during verification.)</t>
        </is>
      </c>
    </row>
    <row r="14" ht="22" customHeight="1">
      <c r="A14" s="8" t="inlineStr">
        <is>
          <t>Key parameters (from the block specification)</t>
        </is>
      </c>
    </row>
    <row r="15" ht="18" customHeight="1">
      <c r="A15" s="9" t="inlineStr">
        <is>
          <t>•  Input bus: 4 bits (nibble) + valid.  Output bus: 32 bits.</t>
        </is>
      </c>
    </row>
    <row r="16" ht="18" customHeight="1">
      <c r="A16" s="9" t="inlineStr">
        <is>
          <t>•  LENGTH: 16 bits, protected by LENGTH_CRC (CRC-16, poly 0x1021, init 0xFFFF).</t>
        </is>
      </c>
    </row>
    <row r="17" ht="18" customHeight="1">
      <c r="A17" s="9" t="inlineStr">
        <is>
          <t>•  CONTROL: 16 bits, protected by CONTROL_CRC (CRC-16, poly 0x8005, init 0x0000).</t>
        </is>
      </c>
    </row>
    <row r="18" ht="18" customHeight="1">
      <c r="A18" s="9" t="inlineStr">
        <is>
          <t>•  PARITY: 32 bits at the end of each packet.</t>
        </is>
      </c>
    </row>
    <row r="19" ht="18" customHeight="1">
      <c r="A19" s="9" t="inlineStr">
        <is>
          <t>•  Payload length: 4 B (min) … 4096 B (optimal) … 8192 B (max).</t>
        </is>
      </c>
    </row>
    <row r="20" ht="18" customHeight="1">
      <c r="A20" s="9" t="inlineStr">
        <is>
          <t>•  Lock Valid Threshold (LVT): 2 (min) … 7 (optimal) … 12 (max).</t>
        </is>
      </c>
    </row>
    <row r="22" ht="22" customHeight="1">
      <c r="A22" s="8" t="inlineStr">
        <is>
          <t>Lock state machine</t>
        </is>
      </c>
    </row>
    <row r="23" ht="18" customHeight="1">
      <c r="A23" s="9" t="inlineStr">
        <is>
          <t>•  NOT_LOCKED — searching every phase for a valid (LENGTH, LENGTH_CRC) pair.</t>
        </is>
      </c>
    </row>
    <row r="24" ht="18" customHeight="1">
      <c r="A24" s="9" t="inlineStr">
        <is>
          <t>•  MAYBE_LOCKED — counting consecutive valid packets at the found phase; one invalid packet → back to NOT_LOCKED.</t>
        </is>
      </c>
    </row>
    <row r="25" ht="18" customHeight="1">
      <c r="A25" s="9" t="inlineStr">
        <is>
          <t>•  LOCKED — reached after LVT consecutive valid packets; single-bit CRC errors are corrected, data is output.</t>
        </is>
      </c>
    </row>
  </sheetData>
  <mergeCells count="13">
    <mergeCell ref="A20:B20"/>
    <mergeCell ref="A24:B24"/>
    <mergeCell ref="A16:B16"/>
    <mergeCell ref="A2:B2"/>
    <mergeCell ref="A15:B15"/>
    <mergeCell ref="A25:B25"/>
    <mergeCell ref="A19:B19"/>
    <mergeCell ref="A23:B23"/>
    <mergeCell ref="A14:B14"/>
    <mergeCell ref="A1:B1"/>
    <mergeCell ref="A17:B17"/>
    <mergeCell ref="A18:B1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tabSelected="0" workbookViewId="0">
      <selection activeCell="A1" sqref="A1"/>
    </sheetView>
  </sheetViews>
  <sheetFormatPr baseColWidth="8" defaultRowHeight="15"/>
  <cols>
    <col width="26" customWidth="1" min="1" max="1"/>
    <col width="14" customWidth="1" min="2" max="2"/>
    <col width="16" customWidth="1" min="3" max="3"/>
    <col width="14" customWidth="1" min="4" max="4"/>
    <col width="16" customWidth="1" min="5" max="5"/>
    <col width="14" customWidth="1" min="6" max="6"/>
  </cols>
  <sheetData>
    <row r="1" ht="32" customHeight="1">
      <c r="A1" s="1" t="inlineStr">
        <is>
          <t>Verification Progress Summary</t>
        </is>
      </c>
    </row>
    <row r="2">
      <c r="A2" s="10" t="inlineStr">
        <is>
          <t>All numbers are live formulas over the 'Attribute List' sheet — they update when you change V / X.</t>
        </is>
      </c>
    </row>
    <row r="4">
      <c r="A4" s="11" t="inlineStr">
        <is>
          <t>Group</t>
        </is>
      </c>
      <c r="B4" s="11" t="inlineStr">
        <is>
          <t>Test Cases</t>
        </is>
      </c>
      <c r="C4" s="11" t="inlineStr">
        <is>
          <t>Implemented</t>
        </is>
      </c>
      <c r="D4" s="11" t="inlineStr">
        <is>
          <t>% Impl.</t>
        </is>
      </c>
      <c r="E4" s="11" t="inlineStr">
        <is>
          <t>Checked</t>
        </is>
      </c>
      <c r="F4" s="11" t="inlineStr">
        <is>
          <t>% Checked</t>
        </is>
      </c>
    </row>
    <row r="5" ht="20" customHeight="1">
      <c r="A5" s="12" t="inlineStr">
        <is>
          <t>System assumptions</t>
        </is>
      </c>
      <c r="B5" s="13">
        <f>COUNTIFS('Attribute List'!$I$6:$I$47,"SYS",'Attribute List'!$E$6:$E$47,"&lt;&gt;")</f>
        <v/>
      </c>
      <c r="C5" s="13">
        <f>COUNTIFS('Attribute List'!$I$6:$I$47,"SYS",'Attribute List'!$G$6:$G$47,"V")</f>
        <v/>
      </c>
      <c r="D5" s="14">
        <f>IF(B5=0,0,C5/B5)</f>
        <v/>
      </c>
      <c r="E5" s="13">
        <f>COUNTIFS('Attribute List'!$I$6:$I$47,"SYS",'Attribute List'!$H$6:$H$47,"V")</f>
        <v/>
      </c>
      <c r="F5" s="14">
        <f>IF(B5=0,0,E5/B5)</f>
        <v/>
      </c>
    </row>
    <row r="6" ht="20" customHeight="1">
      <c r="A6" s="15" t="inlineStr">
        <is>
          <t>Lock</t>
        </is>
      </c>
      <c r="B6" s="16">
        <f>COUNTIFS('Attribute List'!$I$6:$I$47,"LCK",'Attribute List'!$E$6:$E$47,"&lt;&gt;")</f>
        <v/>
      </c>
      <c r="C6" s="16">
        <f>COUNTIFS('Attribute List'!$I$6:$I$47,"LCK",'Attribute List'!$G$6:$G$47,"V")</f>
        <v/>
      </c>
      <c r="D6" s="17">
        <f>IF(B6=0,0,C6/B6)</f>
        <v/>
      </c>
      <c r="E6" s="16">
        <f>COUNTIFS('Attribute List'!$I$6:$I$47,"LCK",'Attribute List'!$H$6:$H$47,"V")</f>
        <v/>
      </c>
      <c r="F6" s="17">
        <f>IF(B6=0,0,E6/B6)</f>
        <v/>
      </c>
    </row>
    <row r="7" ht="20" customHeight="1">
      <c r="A7" s="12" t="inlineStr">
        <is>
          <t>Message size</t>
        </is>
      </c>
      <c r="B7" s="13">
        <f>COUNTIFS('Attribute List'!$I$6:$I$47,"SIZ",'Attribute List'!$E$6:$E$47,"&lt;&gt;")</f>
        <v/>
      </c>
      <c r="C7" s="13">
        <f>COUNTIFS('Attribute List'!$I$6:$I$47,"SIZ",'Attribute List'!$G$6:$G$47,"V")</f>
        <v/>
      </c>
      <c r="D7" s="14">
        <f>IF(B7=0,0,C7/B7)</f>
        <v/>
      </c>
      <c r="E7" s="13">
        <f>COUNTIFS('Attribute List'!$I$6:$I$47,"SIZ",'Attribute List'!$H$6:$H$47,"V")</f>
        <v/>
      </c>
      <c r="F7" s="14">
        <f>IF(B7=0,0,E7/B7)</f>
        <v/>
      </c>
    </row>
    <row r="8" ht="20" customHeight="1">
      <c r="A8" s="15" t="inlineStr">
        <is>
          <t>Length + CRC errors</t>
        </is>
      </c>
      <c r="B8" s="16">
        <f>COUNTIFS('Attribute List'!$I$6:$I$47,"LEN",'Attribute List'!$E$6:$E$47,"&lt;&gt;")</f>
        <v/>
      </c>
      <c r="C8" s="16">
        <f>COUNTIFS('Attribute List'!$I$6:$I$47,"LEN",'Attribute List'!$G$6:$G$47,"V")</f>
        <v/>
      </c>
      <c r="D8" s="17">
        <f>IF(B8=0,0,C8/B8)</f>
        <v/>
      </c>
      <c r="E8" s="16">
        <f>COUNTIFS('Attribute List'!$I$6:$I$47,"LEN",'Attribute List'!$H$6:$H$47,"V")</f>
        <v/>
      </c>
      <c r="F8" s="17">
        <f>IF(B8=0,0,E8/B8)</f>
        <v/>
      </c>
    </row>
    <row r="9" ht="20" customHeight="1">
      <c r="A9" s="12" t="inlineStr">
        <is>
          <t>Control + CRC errors</t>
        </is>
      </c>
      <c r="B9" s="13">
        <f>COUNTIFS('Attribute List'!$I$6:$I$47,"CTL",'Attribute List'!$E$6:$E$47,"&lt;&gt;")</f>
        <v/>
      </c>
      <c r="C9" s="13">
        <f>COUNTIFS('Attribute List'!$I$6:$I$47,"CTL",'Attribute List'!$G$6:$G$47,"V")</f>
        <v/>
      </c>
      <c r="D9" s="14">
        <f>IF(B9=0,0,C9/B9)</f>
        <v/>
      </c>
      <c r="E9" s="13">
        <f>COUNTIFS('Attribute List'!$I$6:$I$47,"CTL",'Attribute List'!$H$6:$H$47,"V")</f>
        <v/>
      </c>
      <c r="F9" s="14">
        <f>IF(B9=0,0,E9/B9)</f>
        <v/>
      </c>
    </row>
    <row r="10" ht="20" customHeight="1">
      <c r="A10" s="15" t="inlineStr">
        <is>
          <t>Output control</t>
        </is>
      </c>
      <c r="B10" s="16">
        <f>COUNTIFS('Attribute List'!$I$6:$I$47,"OCT",'Attribute List'!$E$6:$E$47,"&lt;&gt;")</f>
        <v/>
      </c>
      <c r="C10" s="16">
        <f>COUNTIFS('Attribute List'!$I$6:$I$47,"OCT",'Attribute List'!$G$6:$G$47,"V")</f>
        <v/>
      </c>
      <c r="D10" s="17">
        <f>IF(B10=0,0,C10/B10)</f>
        <v/>
      </c>
      <c r="E10" s="16">
        <f>COUNTIFS('Attribute List'!$I$6:$I$47,"OCT",'Attribute List'!$H$6:$H$47,"V")</f>
        <v/>
      </c>
      <c r="F10" s="17">
        <f>IF(B10=0,0,E10/B10)</f>
        <v/>
      </c>
    </row>
    <row r="11" ht="20" customHeight="1">
      <c r="A11" s="12" t="inlineStr">
        <is>
          <t>Phase</t>
        </is>
      </c>
      <c r="B11" s="13">
        <f>COUNTIFS('Attribute List'!$I$6:$I$47,"PHS",'Attribute List'!$E$6:$E$47,"&lt;&gt;")</f>
        <v/>
      </c>
      <c r="C11" s="13">
        <f>COUNTIFS('Attribute List'!$I$6:$I$47,"PHS",'Attribute List'!$G$6:$G$47,"V")</f>
        <v/>
      </c>
      <c r="D11" s="14">
        <f>IF(B11=0,0,C11/B11)</f>
        <v/>
      </c>
      <c r="E11" s="13">
        <f>COUNTIFS('Attribute List'!$I$6:$I$47,"PHS",'Attribute List'!$H$6:$H$47,"V")</f>
        <v/>
      </c>
      <c r="F11" s="14">
        <f>IF(B11=0,0,E11/B11)</f>
        <v/>
      </c>
    </row>
    <row r="12" ht="20" customHeight="1">
      <c r="A12" s="15" t="inlineStr">
        <is>
          <t>Parity</t>
        </is>
      </c>
      <c r="B12" s="16">
        <f>COUNTIFS('Attribute List'!$I$6:$I$47,"PAR",'Attribute List'!$E$6:$E$47,"&lt;&gt;")</f>
        <v/>
      </c>
      <c r="C12" s="16">
        <f>COUNTIFS('Attribute List'!$I$6:$I$47,"PAR",'Attribute List'!$G$6:$G$47,"V")</f>
        <v/>
      </c>
      <c r="D12" s="17">
        <f>IF(B12=0,0,C12/B12)</f>
        <v/>
      </c>
      <c r="E12" s="16">
        <f>COUNTIFS('Attribute List'!$I$6:$I$47,"PAR",'Attribute List'!$H$6:$H$47,"V")</f>
        <v/>
      </c>
      <c r="F12" s="17">
        <f>IF(B12=0,0,E12/B12)</f>
        <v/>
      </c>
    </row>
    <row r="13" ht="20" customHeight="1">
      <c r="A13" s="12" t="inlineStr">
        <is>
          <t>Random input valid</t>
        </is>
      </c>
      <c r="B13" s="13">
        <f>COUNTIFS('Attribute List'!$I$6:$I$47,"VLD",'Attribute List'!$E$6:$E$47,"&lt;&gt;")</f>
        <v/>
      </c>
      <c r="C13" s="13">
        <f>COUNTIFS('Attribute List'!$I$6:$I$47,"VLD",'Attribute List'!$G$6:$G$47,"V")</f>
        <v/>
      </c>
      <c r="D13" s="14">
        <f>IF(B13=0,0,C13/B13)</f>
        <v/>
      </c>
      <c r="E13" s="13">
        <f>COUNTIFS('Attribute List'!$I$6:$I$47,"VLD",'Attribute List'!$H$6:$H$47,"V")</f>
        <v/>
      </c>
      <c r="F13" s="14">
        <f>IF(B13=0,0,E13/B13)</f>
        <v/>
      </c>
    </row>
    <row r="14" ht="20" customHeight="1">
      <c r="A14" s="18" t="inlineStr">
        <is>
          <t>TOTAL</t>
        </is>
      </c>
      <c r="B14" s="19">
        <f>SUM(B5:B13)</f>
        <v/>
      </c>
      <c r="C14" s="19">
        <f>SUM(C5:C13)</f>
        <v/>
      </c>
      <c r="D14" s="20">
        <f>IF(B14=0,0,C14/B14)</f>
        <v/>
      </c>
      <c r="E14" s="19">
        <f>SUM(E5:E13)</f>
        <v/>
      </c>
      <c r="F14" s="20">
        <f>IF(B14=0,0,E14/B14)</f>
        <v/>
      </c>
    </row>
  </sheetData>
  <mergeCells count="2">
    <mergeCell ref="A2:F2"/>
    <mergeCell ref="A1:F1"/>
  </mergeCells>
  <conditionalFormatting sqref="D5:D14">
    <cfRule type="dataBar" priority="1">
      <dataBar>
        <cfvo type="num" val="0"/>
        <cfvo type="num" val="1"/>
        <color rgb="005B9BD5"/>
      </dataBar>
    </cfRule>
  </conditionalFormatting>
  <conditionalFormatting sqref="F5:F14">
    <cfRule type="dataBar" priority="2">
      <dataBar>
        <cfvo type="num" val="0"/>
        <cfvo type="num" val="1"/>
        <color rgb="005B9BD5"/>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I47"/>
  <sheetViews>
    <sheetView showGridLines="0" tabSelected="1" zoomScale="90" workbookViewId="0">
      <pane ySplit="5" topLeftCell="A6" activePane="bottomLeft" state="frozen"/>
      <selection pane="bottomLeft" activeCell="A1" sqref="A1"/>
    </sheetView>
  </sheetViews>
  <sheetFormatPr baseColWidth="8" defaultRowHeight="15"/>
  <cols>
    <col width="8" customWidth="1" min="1" max="1"/>
    <col width="16" customWidth="1" min="2" max="2"/>
    <col width="40" customWidth="1" min="3" max="3"/>
    <col width="46" customWidth="1" min="4" max="4"/>
    <col width="60" customWidth="1" min="5" max="5"/>
    <col width="10" customWidth="1" min="6" max="6"/>
    <col width="14" customWidth="1" min="7" max="7"/>
    <col width="14" customWidth="1" min="8" max="8"/>
    <col hidden="1" width="13" customWidth="1" min="9" max="9"/>
  </cols>
  <sheetData>
    <row r="1" ht="32" customHeight="1">
      <c r="A1" s="1" t="inlineStr">
        <is>
          <t>RX Block — Attribute List (AL)</t>
        </is>
      </c>
    </row>
    <row r="2" ht="30" customHeight="1">
      <c r="A2" s="21" t="inlineStr">
        <is>
          <t>Functional attributes of the RX module, derived from the block specification. This list is written before the Verification Plan — the VP and the verification environment are built from it.</t>
        </is>
      </c>
    </row>
    <row r="3" ht="20" customHeight="1">
      <c r="E3" s="22" t="inlineStr">
        <is>
          <t>PRIORITY</t>
        </is>
      </c>
      <c r="F3" s="23" t="inlineStr">
        <is>
          <t>High</t>
        </is>
      </c>
      <c r="G3" s="24" t="inlineStr">
        <is>
          <t>Medium</t>
        </is>
      </c>
      <c r="H3" s="25" t="inlineStr">
        <is>
          <t>Low</t>
        </is>
      </c>
    </row>
    <row r="4" ht="20" customHeight="1">
      <c r="E4" s="22" t="inlineStr">
        <is>
          <t>STATUS   (Implemented / Checked)</t>
        </is>
      </c>
      <c r="F4" s="26" t="n"/>
      <c r="G4" s="27" t="inlineStr">
        <is>
          <t>V  •  Done</t>
        </is>
      </c>
      <c r="H4" s="28" t="inlineStr">
        <is>
          <t>X  •  Not done</t>
        </is>
      </c>
    </row>
    <row r="5" ht="34" customHeight="1">
      <c r="A5" s="29" t="inlineStr">
        <is>
          <t>ID</t>
        </is>
      </c>
      <c r="B5" s="29" t="inlineStr">
        <is>
          <t>Group</t>
        </is>
      </c>
      <c r="C5" s="29" t="inlineStr">
        <is>
          <t>Attribute
(The module shall … when …)</t>
        </is>
      </c>
      <c r="D5" s="29" t="inlineStr">
        <is>
          <t>Notes / Assumptions</t>
        </is>
      </c>
      <c r="E5" s="29" t="inlineStr">
        <is>
          <t>Test Case
(standard &amp; corner cases)</t>
        </is>
      </c>
      <c r="F5" s="29" t="inlineStr">
        <is>
          <t>Priority</t>
        </is>
      </c>
      <c r="G5" s="29" t="inlineStr">
        <is>
          <t>Implemented
(V / X)</t>
        </is>
      </c>
      <c r="H5" s="29" t="inlineStr">
        <is>
          <t>Checked
(V / X)</t>
        </is>
      </c>
    </row>
    <row r="6" ht="22" customHeight="1">
      <c r="A6" s="30" t="inlineStr">
        <is>
          <t>SYSTEM — Assumptions (the module cannot work correctly without these)</t>
        </is>
      </c>
      <c r="B6" s="31" t="n"/>
      <c r="C6" s="31" t="n"/>
      <c r="D6" s="31" t="n"/>
      <c r="E6" s="31" t="n"/>
      <c r="F6" s="31" t="n"/>
      <c r="G6" s="31" t="n"/>
      <c r="H6" s="31" t="n"/>
    </row>
    <row r="7" ht="28" customHeight="1">
      <c r="A7" s="32" t="inlineStr">
        <is>
          <t>SYS-01</t>
        </is>
      </c>
      <c r="B7" s="33" t="inlineStr">
        <is>
          <t>System assumptions</t>
        </is>
      </c>
      <c r="C7" s="34" t="inlineStr">
        <is>
          <t>Data payload length is always a multiple of 4 bytes.</t>
        </is>
      </c>
      <c r="D7" s="34" t="inlineStr">
        <is>
          <t>Parity is a 32-bit word and the output bus is 32 bits wide.</t>
        </is>
      </c>
      <c r="E7" s="35" t="inlineStr">
        <is>
          <t>Assumption — not stimulated</t>
        </is>
      </c>
      <c r="F7" s="36" t="inlineStr">
        <is>
          <t>High</t>
        </is>
      </c>
      <c r="G7" s="36" t="inlineStr">
        <is>
          <t>X</t>
        </is>
      </c>
      <c r="H7" s="36" t="inlineStr">
        <is>
          <t>X</t>
        </is>
      </c>
      <c r="I7" t="inlineStr">
        <is>
          <t>SYS</t>
        </is>
      </c>
    </row>
    <row r="8" ht="42" customHeight="1">
      <c r="A8" s="37" t="inlineStr">
        <is>
          <t>SYS-02</t>
        </is>
      </c>
      <c r="B8" s="38" t="inlineStr">
        <is>
          <t>System assumptions</t>
        </is>
      </c>
      <c r="C8" s="39" t="inlineStr">
        <is>
          <t>Once the module is LOCKED it never drops out of lock.</t>
        </is>
      </c>
      <c r="D8" s="39" t="inlineStr">
        <is>
          <t>After lock, at most ONE bit error can occur in LENGTH + LENGTH_CRC; 2+ errors after lock are outside the spec.</t>
        </is>
      </c>
      <c r="E8" s="40" t="inlineStr">
        <is>
          <t>Assumption — not stimulated</t>
        </is>
      </c>
      <c r="F8" s="41" t="inlineStr">
        <is>
          <t>High</t>
        </is>
      </c>
      <c r="G8" s="41" t="inlineStr">
        <is>
          <t>X</t>
        </is>
      </c>
      <c r="H8" s="41" t="inlineStr">
        <is>
          <t>X</t>
        </is>
      </c>
      <c r="I8" t="inlineStr">
        <is>
          <t>SYS</t>
        </is>
      </c>
    </row>
    <row r="9" ht="42" customHeight="1">
      <c r="A9" s="32" t="inlineStr">
        <is>
          <t>SYS-03</t>
        </is>
      </c>
      <c r="B9" s="33" t="inlineStr">
        <is>
          <t>System assumptions</t>
        </is>
      </c>
      <c r="C9" s="34" t="inlineStr">
        <is>
          <t>The Lock Valid Threshold (LVT) is configured at the start of simulation and never changes.</t>
        </is>
      </c>
      <c r="D9" s="34" t="inlineStr">
        <is>
          <t>Legal range: 2 ≤ LVT ≤ 12. LVT input is 16 bits wide.</t>
        </is>
      </c>
      <c r="E9" s="35" t="inlineStr">
        <is>
          <t>Assumption — not stimulated</t>
        </is>
      </c>
      <c r="F9" s="36" t="inlineStr">
        <is>
          <t>High</t>
        </is>
      </c>
      <c r="G9" s="36" t="inlineStr">
        <is>
          <t>X</t>
        </is>
      </c>
      <c r="H9" s="36" t="inlineStr">
        <is>
          <t>X</t>
        </is>
      </c>
      <c r="I9" t="inlineStr">
        <is>
          <t>SYS</t>
        </is>
      </c>
    </row>
    <row r="10" ht="28" customHeight="1">
      <c r="A10" s="37" t="inlineStr">
        <is>
          <t>SYS-04</t>
        </is>
      </c>
      <c r="B10" s="38" t="inlineStr">
        <is>
          <t>System assumptions</t>
        </is>
      </c>
      <c r="C10" s="39" t="inlineStr">
        <is>
          <t>Data payload length is at most 8 KB.</t>
        </is>
      </c>
      <c r="D10" s="39" t="inlineStr">
        <is>
          <t>Maximum payload is 8192 bytes; LENGTH field is 16 bits.</t>
        </is>
      </c>
      <c r="E10" s="40" t="inlineStr">
        <is>
          <t>Assumption — not stimulated</t>
        </is>
      </c>
      <c r="F10" s="41" t="inlineStr">
        <is>
          <t>High</t>
        </is>
      </c>
      <c r="G10" s="41" t="inlineStr">
        <is>
          <t>X</t>
        </is>
      </c>
      <c r="H10" s="41" t="inlineStr">
        <is>
          <t>X</t>
        </is>
      </c>
      <c r="I10" t="inlineStr">
        <is>
          <t>SYS</t>
        </is>
      </c>
    </row>
    <row r="11" ht="22" customHeight="1">
      <c r="A11" s="30" t="inlineStr">
        <is>
          <t>LOCK — Packet-boundary acquisition (NOT_LOCKED → MAYBE_LOCKED → LOCKED)</t>
        </is>
      </c>
      <c r="B11" s="31" t="n"/>
      <c r="C11" s="31" t="n"/>
      <c r="D11" s="31" t="n"/>
      <c r="E11" s="31" t="n"/>
      <c r="F11" s="31" t="n"/>
      <c r="G11" s="31" t="n"/>
      <c r="H11" s="31" t="n"/>
    </row>
    <row r="12" ht="20" customHeight="1">
      <c r="A12" s="32" t="inlineStr">
        <is>
          <t>LCK-01</t>
        </is>
      </c>
      <c r="B12" s="33" t="inlineStr">
        <is>
          <t>Lock</t>
        </is>
      </c>
      <c r="C12" s="34" t="inlineStr">
        <is>
          <t>The module shall enter LOCKED after receiving LVT consecutive valid packets at the same phase.</t>
        </is>
      </c>
      <c r="D12" s="34" t="inlineStr">
        <is>
          <t>LVT is set by an external interface.
A packet is valid only if LENGTH + LENGTH_CRC is correct (CRC-16, poly 0x1021, init 0xFFFF).
All LVT packets must share the same phase for lock to succeed.
No data is output until the module is LOCKED.</t>
        </is>
      </c>
      <c r="E12" s="35" t="inlineStr">
        <is>
          <t>Send MORE than LVT consecutive valid packets</t>
        </is>
      </c>
      <c r="F12" s="36" t="inlineStr">
        <is>
          <t>High</t>
        </is>
      </c>
      <c r="G12" s="36" t="inlineStr">
        <is>
          <t>X</t>
        </is>
      </c>
      <c r="H12" s="36" t="inlineStr">
        <is>
          <t>X</t>
        </is>
      </c>
      <c r="I12" t="inlineStr">
        <is>
          <t>LCK</t>
        </is>
      </c>
    </row>
    <row r="13" ht="20" customHeight="1">
      <c r="A13" s="42" t="n"/>
      <c r="B13" s="42" t="n"/>
      <c r="C13" s="42" t="n"/>
      <c r="D13" s="42" t="n"/>
      <c r="E13" s="35" t="inlineStr">
        <is>
          <t>Send EXACTLY LVT consecutive valid packets</t>
        </is>
      </c>
      <c r="F13" s="36" t="inlineStr">
        <is>
          <t>High</t>
        </is>
      </c>
      <c r="G13" s="36" t="inlineStr">
        <is>
          <t>X</t>
        </is>
      </c>
      <c r="H13" s="36" t="inlineStr">
        <is>
          <t>X</t>
        </is>
      </c>
      <c r="I13" t="inlineStr">
        <is>
          <t>LCK</t>
        </is>
      </c>
    </row>
    <row r="14" ht="28" customHeight="1">
      <c r="A14" s="42" t="n"/>
      <c r="B14" s="42" t="n"/>
      <c r="C14" s="42" t="n"/>
      <c r="D14" s="42" t="n"/>
      <c r="E14" s="35" t="inlineStr">
        <is>
          <t>Send LVT-1 valid packets, then an invalid packet (drop MAYBE → NOT_LOCKED), then valid packets again</t>
        </is>
      </c>
      <c r="F14" s="36" t="inlineStr">
        <is>
          <t>Medium</t>
        </is>
      </c>
      <c r="G14" s="36" t="inlineStr">
        <is>
          <t>X</t>
        </is>
      </c>
      <c r="H14" s="36" t="inlineStr">
        <is>
          <t>X</t>
        </is>
      </c>
      <c r="I14" t="inlineStr">
        <is>
          <t>LCK</t>
        </is>
      </c>
    </row>
    <row r="15" ht="28" customHeight="1">
      <c r="A15" s="42" t="n"/>
      <c r="B15" s="42" t="n"/>
      <c r="C15" s="42" t="n"/>
      <c r="D15" s="42" t="n"/>
      <c r="E15" s="35" t="inlineStr">
        <is>
          <t>Send 1…LVT-2 valid packets, then an invalid packet (early drop), then valid packets again</t>
        </is>
      </c>
      <c r="F15" s="36" t="inlineStr">
        <is>
          <t>Medium</t>
        </is>
      </c>
      <c r="G15" s="36" t="inlineStr">
        <is>
          <t>X</t>
        </is>
      </c>
      <c r="H15" s="36" t="inlineStr">
        <is>
          <t>X</t>
        </is>
      </c>
      <c r="I15" t="inlineStr">
        <is>
          <t>LCK</t>
        </is>
      </c>
    </row>
    <row r="16" ht="28" customHeight="1">
      <c r="A16" s="42" t="n"/>
      <c r="B16" s="42" t="n"/>
      <c r="C16" s="42" t="n"/>
      <c r="D16" s="42" t="n"/>
      <c r="E16" s="35" t="inlineStr">
        <is>
          <t>Send LVT-a valid packets at one phase, then a valid packet at a LATER phase, then valid packets again (a ≥ 1)</t>
        </is>
      </c>
      <c r="F16" s="36" t="inlineStr">
        <is>
          <t>Low</t>
        </is>
      </c>
      <c r="G16" s="36" t="inlineStr">
        <is>
          <t>X</t>
        </is>
      </c>
      <c r="H16" s="36" t="inlineStr">
        <is>
          <t>X</t>
        </is>
      </c>
      <c r="I16" t="inlineStr">
        <is>
          <t>LCK</t>
        </is>
      </c>
    </row>
    <row r="17" ht="28" customHeight="1">
      <c r="A17" s="42" t="n"/>
      <c r="B17" s="42" t="n"/>
      <c r="C17" s="42" t="n"/>
      <c r="D17" s="42" t="n"/>
      <c r="E17" s="35" t="inlineStr">
        <is>
          <t>Send LVT-a valid packets at one phase, then a valid packet at an EARLIER phase, then valid packets again (a ≥ 1)</t>
        </is>
      </c>
      <c r="F17" s="36" t="inlineStr">
        <is>
          <t>Low</t>
        </is>
      </c>
      <c r="G17" s="36" t="inlineStr">
        <is>
          <t>X</t>
        </is>
      </c>
      <c r="H17" s="36" t="inlineStr">
        <is>
          <t>X</t>
        </is>
      </c>
      <c r="I17" t="inlineStr">
        <is>
          <t>LCK</t>
        </is>
      </c>
    </row>
    <row r="18" ht="20" customHeight="1">
      <c r="A18" s="43" t="n"/>
      <c r="B18" s="43" t="n"/>
      <c r="C18" s="43" t="n"/>
      <c r="D18" s="43" t="n"/>
      <c r="E18" s="35" t="inlineStr">
        <is>
          <t>Lock using a single packet of non-minimal length</t>
        </is>
      </c>
      <c r="F18" s="36" t="inlineStr">
        <is>
          <t>Medium</t>
        </is>
      </c>
      <c r="G18" s="36" t="inlineStr">
        <is>
          <t>X</t>
        </is>
      </c>
      <c r="H18" s="36" t="inlineStr">
        <is>
          <t>X</t>
        </is>
      </c>
      <c r="I18" t="inlineStr">
        <is>
          <t>LCK</t>
        </is>
      </c>
    </row>
    <row r="19" ht="20" customHeight="1">
      <c r="A19" s="37" t="inlineStr">
        <is>
          <t>LCK-02</t>
        </is>
      </c>
      <c r="B19" s="38" t="inlineStr">
        <is>
          <t>Lock</t>
        </is>
      </c>
      <c r="C19" s="39" t="inlineStr">
        <is>
          <t>The module shall lock correctly for every legal LVT value.</t>
        </is>
      </c>
      <c r="D19" s="39" t="inlineStr">
        <is>
          <t>Legal range 2…12. Minimum, typical (7) and maximum are the corner values.</t>
        </is>
      </c>
      <c r="E19" s="40" t="inlineStr">
        <is>
          <t>LVT = 2 (minimum)</t>
        </is>
      </c>
      <c r="F19" s="41" t="inlineStr">
        <is>
          <t>High</t>
        </is>
      </c>
      <c r="G19" s="41" t="inlineStr">
        <is>
          <t>X</t>
        </is>
      </c>
      <c r="H19" s="41" t="inlineStr">
        <is>
          <t>X</t>
        </is>
      </c>
      <c r="I19" t="inlineStr">
        <is>
          <t>LCK</t>
        </is>
      </c>
    </row>
    <row r="20" ht="20" customHeight="1">
      <c r="A20" s="42" t="n"/>
      <c r="B20" s="42" t="n"/>
      <c r="C20" s="42" t="n"/>
      <c r="D20" s="42" t="n"/>
      <c r="E20" s="40" t="inlineStr">
        <is>
          <t>LVT = 7 (typical)</t>
        </is>
      </c>
      <c r="F20" s="41" t="inlineStr">
        <is>
          <t>High</t>
        </is>
      </c>
      <c r="G20" s="41" t="inlineStr">
        <is>
          <t>X</t>
        </is>
      </c>
      <c r="H20" s="41" t="inlineStr">
        <is>
          <t>X</t>
        </is>
      </c>
      <c r="I20" t="inlineStr">
        <is>
          <t>LCK</t>
        </is>
      </c>
    </row>
    <row r="21" ht="20" customHeight="1">
      <c r="A21" s="42" t="n"/>
      <c r="B21" s="42" t="n"/>
      <c r="C21" s="42" t="n"/>
      <c r="D21" s="42" t="n"/>
      <c r="E21" s="40" t="inlineStr">
        <is>
          <t>LVT = 12 (maximum)</t>
        </is>
      </c>
      <c r="F21" s="41" t="inlineStr">
        <is>
          <t>High</t>
        </is>
      </c>
      <c r="G21" s="41" t="inlineStr">
        <is>
          <t>X</t>
        </is>
      </c>
      <c r="H21" s="41" t="inlineStr">
        <is>
          <t>X</t>
        </is>
      </c>
      <c r="I21" t="inlineStr">
        <is>
          <t>LCK</t>
        </is>
      </c>
    </row>
    <row r="22" ht="20" customHeight="1">
      <c r="A22" s="43" t="n"/>
      <c r="B22" s="43" t="n"/>
      <c r="C22" s="43" t="n"/>
      <c r="D22" s="43" t="n"/>
      <c r="E22" s="40" t="inlineStr">
        <is>
          <t>LVT = every other value in 3…11</t>
        </is>
      </c>
      <c r="F22" s="41" t="inlineStr">
        <is>
          <t>Low</t>
        </is>
      </c>
      <c r="G22" s="41" t="inlineStr">
        <is>
          <t>X</t>
        </is>
      </c>
      <c r="H22" s="41" t="inlineStr">
        <is>
          <t>X</t>
        </is>
      </c>
      <c r="I22" t="inlineStr">
        <is>
          <t>LCK</t>
        </is>
      </c>
    </row>
    <row r="23" ht="22" customHeight="1">
      <c r="A23" s="30" t="inlineStr">
        <is>
          <t>DATA PATH — Packet parsing and output</t>
        </is>
      </c>
      <c r="B23" s="31" t="n"/>
      <c r="C23" s="31" t="n"/>
      <c r="D23" s="31" t="n"/>
      <c r="E23" s="31" t="n"/>
      <c r="F23" s="31" t="n"/>
      <c r="G23" s="31" t="n"/>
      <c r="H23" s="31" t="n"/>
    </row>
    <row r="24" ht="20" customHeight="1">
      <c r="A24" s="32" t="inlineStr">
        <is>
          <t>SIZ-01</t>
        </is>
      </c>
      <c r="B24" s="33" t="inlineStr">
        <is>
          <t>Message size</t>
        </is>
      </c>
      <c r="C24" s="34" t="inlineStr">
        <is>
          <t>The module shall receive and output packets of any legal payload length.</t>
        </is>
      </c>
      <c r="D24" s="34" t="inlineStr">
        <is>
          <t>Length range 4 B (minimum) … 4096 B (typical) … 8192 B (maximum).</t>
        </is>
      </c>
      <c r="E24" s="35" t="inlineStr">
        <is>
          <t>Packet of minimum size — 4 B (empty payload)</t>
        </is>
      </c>
      <c r="F24" s="36" t="inlineStr">
        <is>
          <t>High</t>
        </is>
      </c>
      <c r="G24" s="36" t="inlineStr">
        <is>
          <t>X</t>
        </is>
      </c>
      <c r="H24" s="36" t="inlineStr">
        <is>
          <t>X</t>
        </is>
      </c>
      <c r="I24" t="inlineStr">
        <is>
          <t>SIZ</t>
        </is>
      </c>
    </row>
    <row r="25" ht="20" customHeight="1">
      <c r="A25" s="42" t="n"/>
      <c r="B25" s="42" t="n"/>
      <c r="C25" s="42" t="n"/>
      <c r="D25" s="42" t="n"/>
      <c r="E25" s="35" t="inlineStr">
        <is>
          <t>Packet of optimal size — 4 KB (4096 B)</t>
        </is>
      </c>
      <c r="F25" s="36" t="inlineStr">
        <is>
          <t>High</t>
        </is>
      </c>
      <c r="G25" s="36" t="inlineStr">
        <is>
          <t>X</t>
        </is>
      </c>
      <c r="H25" s="36" t="inlineStr">
        <is>
          <t>X</t>
        </is>
      </c>
      <c r="I25" t="inlineStr">
        <is>
          <t>SIZ</t>
        </is>
      </c>
    </row>
    <row r="26" ht="20" customHeight="1">
      <c r="A26" s="42" t="n"/>
      <c r="B26" s="42" t="n"/>
      <c r="C26" s="42" t="n"/>
      <c r="D26" s="42" t="n"/>
      <c r="E26" s="35" t="inlineStr">
        <is>
          <t>Packet of maximum size — 8 KB (8192 B)</t>
        </is>
      </c>
      <c r="F26" s="36" t="inlineStr">
        <is>
          <t>High</t>
        </is>
      </c>
      <c r="G26" s="36" t="inlineStr">
        <is>
          <t>X</t>
        </is>
      </c>
      <c r="H26" s="36" t="inlineStr">
        <is>
          <t>X</t>
        </is>
      </c>
      <c r="I26" t="inlineStr">
        <is>
          <t>SIZ</t>
        </is>
      </c>
    </row>
    <row r="27" ht="20" customHeight="1">
      <c r="A27" s="42" t="n"/>
      <c r="B27" s="42" t="n"/>
      <c r="C27" s="42" t="n"/>
      <c r="D27" s="42" t="n"/>
      <c r="E27" s="35" t="inlineStr">
        <is>
          <t>Packets in every 1 KB range between min and max</t>
        </is>
      </c>
      <c r="F27" s="36" t="inlineStr">
        <is>
          <t>Medium</t>
        </is>
      </c>
      <c r="G27" s="36" t="inlineStr">
        <is>
          <t>X</t>
        </is>
      </c>
      <c r="H27" s="36" t="inlineStr">
        <is>
          <t>X</t>
        </is>
      </c>
      <c r="I27" t="inlineStr">
        <is>
          <t>SIZ</t>
        </is>
      </c>
    </row>
    <row r="28" ht="28" customHeight="1">
      <c r="A28" s="43" t="n"/>
      <c r="B28" s="43" t="n"/>
      <c r="C28" s="43" t="n"/>
      <c r="D28" s="43" t="n"/>
      <c r="E28" s="35" t="inlineStr">
        <is>
          <t>Real-traffic pattern: several 4 KB packets → a remainder packet → empty packets, repeated many times</t>
        </is>
      </c>
      <c r="F28" s="36" t="inlineStr">
        <is>
          <t>Medium</t>
        </is>
      </c>
      <c r="G28" s="36" t="inlineStr">
        <is>
          <t>X</t>
        </is>
      </c>
      <c r="H28" s="36" t="inlineStr">
        <is>
          <t>X</t>
        </is>
      </c>
      <c r="I28" t="inlineStr">
        <is>
          <t>SIZ</t>
        </is>
      </c>
    </row>
    <row r="29" ht="39.33333333333334" customHeight="1">
      <c r="A29" s="37" t="inlineStr">
        <is>
          <t>LEN-01</t>
        </is>
      </c>
      <c r="B29" s="38" t="inlineStr">
        <is>
          <t>Length + CRC errors</t>
        </is>
      </c>
      <c r="C29" s="39" t="inlineStr">
        <is>
          <t>The module shall correct a packet that arrives with a single-bit error in LENGTH / LENGTH_CRC.</t>
        </is>
      </c>
      <c r="D29" s="39" t="inlineStr">
        <is>
          <t>At most one error in LENGTH + LENGTH_CRC is allowed after lock.
Correction only happens after the module is LOCKED.
Before lock, 2+ errors make the packet invalid (back to NOT_LOCKED).
Should be combined with CTL-01 (length errors together with control errors).</t>
        </is>
      </c>
      <c r="E29" s="40" t="inlineStr">
        <is>
          <t>Valid packet (0 errors)</t>
        </is>
      </c>
      <c r="F29" s="41" t="inlineStr">
        <is>
          <t>High</t>
        </is>
      </c>
      <c r="G29" s="41" t="inlineStr">
        <is>
          <t>X</t>
        </is>
      </c>
      <c r="H29" s="41" t="inlineStr">
        <is>
          <t>X</t>
        </is>
      </c>
      <c r="I29" t="inlineStr">
        <is>
          <t>LEN</t>
        </is>
      </c>
    </row>
    <row r="30" ht="39.33333333333334" customHeight="1">
      <c r="A30" s="42" t="n"/>
      <c r="B30" s="42" t="n"/>
      <c r="C30" s="42" t="n"/>
      <c r="D30" s="42" t="n"/>
      <c r="E30" s="40" t="inlineStr">
        <is>
          <t>Packet with exactly 1 bit error</t>
        </is>
      </c>
      <c r="F30" s="41" t="inlineStr">
        <is>
          <t>High</t>
        </is>
      </c>
      <c r="G30" s="41" t="inlineStr">
        <is>
          <t>X</t>
        </is>
      </c>
      <c r="H30" s="41" t="inlineStr">
        <is>
          <t>X</t>
        </is>
      </c>
      <c r="I30" t="inlineStr">
        <is>
          <t>LEN</t>
        </is>
      </c>
    </row>
    <row r="31" ht="47.33333333333334" customHeight="1">
      <c r="A31" s="43" t="n"/>
      <c r="B31" s="43" t="n"/>
      <c r="C31" s="43" t="n"/>
      <c r="D31" s="43" t="n"/>
      <c r="E31" s="40" t="inlineStr">
        <is>
          <t>Packet with 2+ errors while MAYBE_LOCKED (invalid → drop to NOT_LOCKED)</t>
        </is>
      </c>
      <c r="F31" s="41" t="inlineStr">
        <is>
          <t>Medium</t>
        </is>
      </c>
      <c r="G31" s="41" t="inlineStr">
        <is>
          <t>X</t>
        </is>
      </c>
      <c r="H31" s="41" t="inlineStr">
        <is>
          <t>X</t>
        </is>
      </c>
      <c r="I31" t="inlineStr">
        <is>
          <t>LEN</t>
        </is>
      </c>
    </row>
    <row r="32" ht="42" customHeight="1">
      <c r="A32" s="32" t="inlineStr">
        <is>
          <t>CTL-01</t>
        </is>
      </c>
      <c r="B32" s="33" t="inlineStr">
        <is>
          <t>Control + CRC errors</t>
        </is>
      </c>
      <c r="C32" s="34" t="inlineStr">
        <is>
          <t>The module shall correct a packet that arrives with a single-bit error in CONTROL / CONTROL_CRC.</t>
        </is>
      </c>
      <c r="D32" s="34" t="inlineStr">
        <is>
          <t>At most one error in CONTROL + CONTROL_CRC.
Correction only happens after the module is LOCKED.
CRC-16, poly 0x8005, init 0x0000. Combine with LEN-01.</t>
        </is>
      </c>
      <c r="E32" s="35" t="inlineStr">
        <is>
          <t>Valid packet (0 errors)</t>
        </is>
      </c>
      <c r="F32" s="36" t="inlineStr">
        <is>
          <t>High</t>
        </is>
      </c>
      <c r="G32" s="36" t="inlineStr">
        <is>
          <t>X</t>
        </is>
      </c>
      <c r="H32" s="36" t="inlineStr">
        <is>
          <t>X</t>
        </is>
      </c>
      <c r="I32" t="inlineStr">
        <is>
          <t>CTL</t>
        </is>
      </c>
    </row>
    <row r="33" ht="42" customHeight="1">
      <c r="A33" s="43" t="n"/>
      <c r="B33" s="43" t="n"/>
      <c r="C33" s="43" t="n"/>
      <c r="D33" s="43" t="n"/>
      <c r="E33" s="35" t="inlineStr">
        <is>
          <t>Packet with exactly 1 bit error</t>
        </is>
      </c>
      <c r="F33" s="36" t="inlineStr">
        <is>
          <t>High</t>
        </is>
      </c>
      <c r="G33" s="36" t="inlineStr">
        <is>
          <t>X</t>
        </is>
      </c>
      <c r="H33" s="36" t="inlineStr">
        <is>
          <t>X</t>
        </is>
      </c>
      <c r="I33" t="inlineStr">
        <is>
          <t>CTL</t>
        </is>
      </c>
    </row>
    <row r="34" ht="20" customHeight="1">
      <c r="A34" s="37" t="inlineStr">
        <is>
          <t>OCT-01</t>
        </is>
      </c>
      <c r="B34" s="38" t="inlineStr">
        <is>
          <t>Output control</t>
        </is>
      </c>
      <c r="C34" s="39" t="inlineStr">
        <is>
          <t>The module shall output the CONTROL word only when its (corrected) value is non-zero.</t>
        </is>
      </c>
      <c r="D34" s="39" t="inlineStr">
        <is>
          <t>A CONTROL value of 0 is never output. CONTROL is 16 bits.</t>
        </is>
      </c>
      <c r="E34" s="40" t="inlineStr">
        <is>
          <t>CONTROL = 0 → not output</t>
        </is>
      </c>
      <c r="F34" s="41" t="inlineStr">
        <is>
          <t>High</t>
        </is>
      </c>
      <c r="G34" s="41" t="inlineStr">
        <is>
          <t>X</t>
        </is>
      </c>
      <c r="H34" s="41" t="inlineStr">
        <is>
          <t>X</t>
        </is>
      </c>
      <c r="I34" t="inlineStr">
        <is>
          <t>OCT</t>
        </is>
      </c>
    </row>
    <row r="35" ht="20" customHeight="1">
      <c r="A35" s="42" t="n"/>
      <c r="B35" s="42" t="n"/>
      <c r="C35" s="42" t="n"/>
      <c r="D35" s="42" t="n"/>
      <c r="E35" s="40" t="inlineStr">
        <is>
          <t>CONTROL ≠ 0 → output</t>
        </is>
      </c>
      <c r="F35" s="41" t="inlineStr">
        <is>
          <t>High</t>
        </is>
      </c>
      <c r="G35" s="41" t="inlineStr">
        <is>
          <t>X</t>
        </is>
      </c>
      <c r="H35" s="41" t="inlineStr">
        <is>
          <t>X</t>
        </is>
      </c>
      <c r="I35" t="inlineStr">
        <is>
          <t>OCT</t>
        </is>
      </c>
    </row>
    <row r="36" ht="28" customHeight="1">
      <c r="A36" s="42" t="n"/>
      <c r="B36" s="42" t="n"/>
      <c r="C36" s="42" t="n"/>
      <c r="D36" s="42" t="n"/>
      <c r="E36" s="40" t="inlineStr">
        <is>
          <t>Send CONTROL = 1 with a bit error that makes it look like 0 → must still be output after correction</t>
        </is>
      </c>
      <c r="F36" s="41" t="inlineStr">
        <is>
          <t>Medium</t>
        </is>
      </c>
      <c r="G36" s="41" t="inlineStr">
        <is>
          <t>X</t>
        </is>
      </c>
      <c r="H36" s="41" t="inlineStr">
        <is>
          <t>X</t>
        </is>
      </c>
      <c r="I36" t="inlineStr">
        <is>
          <t>OCT</t>
        </is>
      </c>
    </row>
    <row r="37" ht="28" customHeight="1">
      <c r="A37" s="43" t="n"/>
      <c r="B37" s="43" t="n"/>
      <c r="C37" s="43" t="n"/>
      <c r="D37" s="43" t="n"/>
      <c r="E37" s="40" t="inlineStr">
        <is>
          <t>Send CONTROL = 0 with a bit error that makes it look like 1 → must NOT be output after correction</t>
        </is>
      </c>
      <c r="F37" s="41" t="inlineStr">
        <is>
          <t>Medium</t>
        </is>
      </c>
      <c r="G37" s="41" t="inlineStr">
        <is>
          <t>X</t>
        </is>
      </c>
      <c r="H37" s="41" t="inlineStr">
        <is>
          <t>X</t>
        </is>
      </c>
      <c r="I37" t="inlineStr">
        <is>
          <t>OCT</t>
        </is>
      </c>
    </row>
    <row r="38" ht="20" customHeight="1">
      <c r="A38" s="32" t="inlineStr">
        <is>
          <t>PHS-01</t>
        </is>
      </c>
      <c r="B38" s="33" t="inlineStr">
        <is>
          <t>Phase</t>
        </is>
      </c>
      <c r="C38" s="34" t="inlineStr">
        <is>
          <t>The module shall determine the packet phase from the traffic received before lock and keep it once LOCKED.</t>
        </is>
      </c>
      <c r="D38" s="34" t="inlineStr">
        <is>
          <t>Input is a 4-bit nibble bus, so packet boundaries can start at nibble offset 0-3 (phase N ≡ N+4). The offset depends on where the traffic starts relative to packet boundaries.</t>
        </is>
      </c>
      <c r="E38" s="35" t="inlineStr">
        <is>
          <t>Phase 0</t>
        </is>
      </c>
      <c r="F38" s="36" t="inlineStr">
        <is>
          <t>High</t>
        </is>
      </c>
      <c r="G38" s="36" t="inlineStr">
        <is>
          <t>X</t>
        </is>
      </c>
      <c r="H38" s="36" t="inlineStr">
        <is>
          <t>X</t>
        </is>
      </c>
      <c r="I38" t="inlineStr">
        <is>
          <t>PHS</t>
        </is>
      </c>
    </row>
    <row r="39" ht="20" customHeight="1">
      <c r="A39" s="42" t="n"/>
      <c r="B39" s="42" t="n"/>
      <c r="C39" s="42" t="n"/>
      <c r="D39" s="42" t="n"/>
      <c r="E39" s="35" t="inlineStr">
        <is>
          <t>Phase 1</t>
        </is>
      </c>
      <c r="F39" s="36" t="inlineStr">
        <is>
          <t>High</t>
        </is>
      </c>
      <c r="G39" s="36" t="inlineStr">
        <is>
          <t>X</t>
        </is>
      </c>
      <c r="H39" s="36" t="inlineStr">
        <is>
          <t>X</t>
        </is>
      </c>
      <c r="I39" t="inlineStr">
        <is>
          <t>PHS</t>
        </is>
      </c>
    </row>
    <row r="40" ht="20" customHeight="1">
      <c r="A40" s="42" t="n"/>
      <c r="B40" s="42" t="n"/>
      <c r="C40" s="42" t="n"/>
      <c r="D40" s="42" t="n"/>
      <c r="E40" s="35" t="inlineStr">
        <is>
          <t>Phase 2</t>
        </is>
      </c>
      <c r="F40" s="36" t="inlineStr">
        <is>
          <t>High</t>
        </is>
      </c>
      <c r="G40" s="36" t="inlineStr">
        <is>
          <t>X</t>
        </is>
      </c>
      <c r="H40" s="36" t="inlineStr">
        <is>
          <t>X</t>
        </is>
      </c>
      <c r="I40" t="inlineStr">
        <is>
          <t>PHS</t>
        </is>
      </c>
    </row>
    <row r="41" ht="20" customHeight="1">
      <c r="A41" s="43" t="n"/>
      <c r="B41" s="43" t="n"/>
      <c r="C41" s="43" t="n"/>
      <c r="D41" s="43" t="n"/>
      <c r="E41" s="35" t="inlineStr">
        <is>
          <t>Phase 3</t>
        </is>
      </c>
      <c r="F41" s="36" t="inlineStr">
        <is>
          <t>High</t>
        </is>
      </c>
      <c r="G41" s="36" t="inlineStr">
        <is>
          <t>X</t>
        </is>
      </c>
      <c r="H41" s="36" t="inlineStr">
        <is>
          <t>X</t>
        </is>
      </c>
      <c r="I41" t="inlineStr">
        <is>
          <t>PHS</t>
        </is>
      </c>
    </row>
    <row r="42" ht="21" customHeight="1">
      <c r="A42" s="37" t="inlineStr">
        <is>
          <t>PAR-01</t>
        </is>
      </c>
      <c r="B42" s="38" t="inlineStr">
        <is>
          <t>Parity</t>
        </is>
      </c>
      <c r="C42" s="39" t="inlineStr">
        <is>
          <t>The module shall raise an indication for every packet whose 32-bit parity is valid / invalid.</t>
        </is>
      </c>
      <c r="D42" s="39" t="inlineStr">
        <is>
          <t>Two output indications: parity_valid and parity_not_valid.</t>
        </is>
      </c>
      <c r="E42" s="40" t="inlineStr">
        <is>
          <t>Valid parity → parity_valid</t>
        </is>
      </c>
      <c r="F42" s="41" t="inlineStr">
        <is>
          <t>High</t>
        </is>
      </c>
      <c r="G42" s="41" t="inlineStr">
        <is>
          <t>X</t>
        </is>
      </c>
      <c r="H42" s="41" t="inlineStr">
        <is>
          <t>X</t>
        </is>
      </c>
      <c r="I42" t="inlineStr">
        <is>
          <t>PAR</t>
        </is>
      </c>
    </row>
    <row r="43" ht="21" customHeight="1">
      <c r="A43" s="43" t="n"/>
      <c r="B43" s="43" t="n"/>
      <c r="C43" s="43" t="n"/>
      <c r="D43" s="43" t="n"/>
      <c r="E43" s="40" t="inlineStr">
        <is>
          <t>Invalid parity → parity_not_valid</t>
        </is>
      </c>
      <c r="F43" s="41" t="inlineStr">
        <is>
          <t>High</t>
        </is>
      </c>
      <c r="G43" s="41" t="inlineStr">
        <is>
          <t>X</t>
        </is>
      </c>
      <c r="H43" s="41" t="inlineStr">
        <is>
          <t>X</t>
        </is>
      </c>
      <c r="I43" t="inlineStr">
        <is>
          <t>PAR</t>
        </is>
      </c>
    </row>
    <row r="44" ht="22" customHeight="1">
      <c r="A44" s="30" t="inlineStr">
        <is>
          <t>INTERFACE — Input handshake</t>
        </is>
      </c>
      <c r="B44" s="31" t="n"/>
      <c r="C44" s="31" t="n"/>
      <c r="D44" s="31" t="n"/>
      <c r="E44" s="31" t="n"/>
      <c r="F44" s="31" t="n"/>
      <c r="G44" s="31" t="n"/>
      <c r="H44" s="31" t="n"/>
    </row>
    <row r="45" ht="20" customHeight="1">
      <c r="A45" s="32" t="inlineStr">
        <is>
          <t>VLD-01</t>
        </is>
      </c>
      <c r="B45" s="33" t="inlineStr">
        <is>
          <t>Random input valid</t>
        </is>
      </c>
      <c r="C45" s="34" t="inlineStr">
        <is>
          <t>The module shall sample input data only on cycles where input valid is high.</t>
        </is>
      </c>
      <c r="D45" s="34" t="inlineStr">
        <is>
          <t>Input bus is 4 bits wide, qualified by a valid signal.</t>
        </is>
      </c>
      <c r="E45" s="35" t="inlineStr">
        <is>
          <t>Valid always high (100%) — maximum bandwidth</t>
        </is>
      </c>
      <c r="F45" s="36" t="inlineStr">
        <is>
          <t>High</t>
        </is>
      </c>
      <c r="G45" s="36" t="inlineStr">
        <is>
          <t>X</t>
        </is>
      </c>
      <c r="H45" s="36" t="inlineStr">
        <is>
          <t>X</t>
        </is>
      </c>
      <c r="I45" t="inlineStr">
        <is>
          <t>VLD</t>
        </is>
      </c>
    </row>
    <row r="46" ht="20" customHeight="1">
      <c r="A46" s="42" t="n"/>
      <c r="B46" s="42" t="n"/>
      <c r="C46" s="42" t="n"/>
      <c r="D46" s="42" t="n"/>
      <c r="E46" s="35" t="inlineStr">
        <is>
          <t>Valid high 25% of the time (random)</t>
        </is>
      </c>
      <c r="F46" s="36" t="inlineStr">
        <is>
          <t>Medium</t>
        </is>
      </c>
      <c r="G46" s="36" t="inlineStr">
        <is>
          <t>X</t>
        </is>
      </c>
      <c r="H46" s="36" t="inlineStr">
        <is>
          <t>X</t>
        </is>
      </c>
      <c r="I46" t="inlineStr">
        <is>
          <t>VLD</t>
        </is>
      </c>
    </row>
    <row r="47" ht="20" customHeight="1">
      <c r="A47" s="43" t="n"/>
      <c r="B47" s="43" t="n"/>
      <c r="C47" s="43" t="n"/>
      <c r="D47" s="43" t="n"/>
      <c r="E47" s="35" t="inlineStr">
        <is>
          <t>Valid high 1 cycle out of every 4 (bursty)</t>
        </is>
      </c>
      <c r="F47" s="36" t="inlineStr">
        <is>
          <t>Medium</t>
        </is>
      </c>
      <c r="G47" s="36" t="inlineStr">
        <is>
          <t>X</t>
        </is>
      </c>
      <c r="H47" s="36" t="inlineStr">
        <is>
          <t>X</t>
        </is>
      </c>
      <c r="I47" t="inlineStr">
        <is>
          <t>VLD</t>
        </is>
      </c>
    </row>
  </sheetData>
  <autoFilter ref="A5:H47"/>
  <mergeCells count="42">
    <mergeCell ref="A12:A18"/>
    <mergeCell ref="C42:C43"/>
    <mergeCell ref="C12:C18"/>
    <mergeCell ref="D34:D37"/>
    <mergeCell ref="A29:A31"/>
    <mergeCell ref="A11:H11"/>
    <mergeCell ref="D12:D18"/>
    <mergeCell ref="A1:H1"/>
    <mergeCell ref="B42:B43"/>
    <mergeCell ref="A6:H6"/>
    <mergeCell ref="B45:B47"/>
    <mergeCell ref="D32:D33"/>
    <mergeCell ref="B24:B28"/>
    <mergeCell ref="D24:D28"/>
    <mergeCell ref="D29:D31"/>
    <mergeCell ref="B38:B41"/>
    <mergeCell ref="B19:B22"/>
    <mergeCell ref="A32:A33"/>
    <mergeCell ref="A45:A47"/>
    <mergeCell ref="C45:C47"/>
    <mergeCell ref="A42:A43"/>
    <mergeCell ref="A2:H2"/>
    <mergeCell ref="A24:A28"/>
    <mergeCell ref="B34:B37"/>
    <mergeCell ref="C24:C28"/>
    <mergeCell ref="C29:C31"/>
    <mergeCell ref="C32:C33"/>
    <mergeCell ref="B12:B18"/>
    <mergeCell ref="D42:D43"/>
    <mergeCell ref="A23:H23"/>
    <mergeCell ref="A19:A22"/>
    <mergeCell ref="C38:C41"/>
    <mergeCell ref="C19:C22"/>
    <mergeCell ref="D45:D47"/>
    <mergeCell ref="B32:B33"/>
    <mergeCell ref="A38:A41"/>
    <mergeCell ref="A34:A37"/>
    <mergeCell ref="C34:C37"/>
    <mergeCell ref="D38:D41"/>
    <mergeCell ref="B29:B31"/>
    <mergeCell ref="A44:H44"/>
    <mergeCell ref="D19:D22"/>
  </mergeCells>
  <conditionalFormatting sqref="G6:H47">
    <cfRule type="cellIs" priority="1" operator="equal" dxfId="0">
      <formula>"V"</formula>
    </cfRule>
    <cfRule type="cellIs" priority="2" operator="equal" dxfId="1">
      <formula>"X"</formula>
    </cfRule>
  </conditionalFormatting>
  <conditionalFormatting sqref="F6:F47">
    <cfRule type="cellIs" priority="3" operator="equal" dxfId="2">
      <formula>"High"</formula>
    </cfRule>
    <cfRule type="cellIs" priority="4" operator="equal" dxfId="3">
      <formula>"Medium"</formula>
    </cfRule>
    <cfRule type="cellIs" priority="5" operator="equal" dxfId="4">
      <formula>"Low"</formula>
    </cfRule>
  </conditionalFormatting>
  <dataValidations count="2">
    <dataValidation sqref="F6:F47" showDropDown="0" showInputMessage="0" showErrorMessage="0" allowBlank="1" type="list">
      <formula1>"High,Medium,Low"</formula1>
    </dataValidation>
    <dataValidation sqref="G6:H47" showDropDown="0" showInputMessage="0" showErrorMessage="0" allowBlank="1" type="list">
      <formula1>"V,X"</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RX Attribute List</dc:title>
  <dcterms:created xsi:type="dcterms:W3CDTF">2026-09-28T11:54:19Z</dcterms:created>
  <dcterms:modified xsi:type="dcterms:W3CDTF">2026-09-28T11:54:19Z</dcterms:modified>
</cp:coreProperties>
</file>